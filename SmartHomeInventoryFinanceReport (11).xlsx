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" sheetId="1" r:id="rId5"/>
    <sheet state="visible" name="Cost Structure" sheetId="2" r:id="rId6"/>
    <sheet state="visible" name="Revenue" sheetId="3" r:id="rId7"/>
    <sheet state="visible" name="P&amp;L Statement" sheetId="4" r:id="rId8"/>
    <sheet state="visible" name="Fundraising" sheetId="5" r:id="rId9"/>
    <sheet state="visible" name="Unit Economics" sheetId="6" r:id="rId10"/>
    <sheet state="visible" name="Valuation" sheetId="7" r:id="rId11"/>
    <sheet state="visible" name="Sources" sheetId="8" r:id="rId12"/>
  </sheets>
  <definedNames/>
  <calcPr/>
</workbook>
</file>

<file path=xl/sharedStrings.xml><?xml version="1.0" encoding="utf-8"?>
<sst xmlns="http://schemas.openxmlformats.org/spreadsheetml/2006/main" count="361" uniqueCount="289">
  <si>
    <t>SMART HOME INVENTORY</t>
  </si>
  <si>
    <t>SMART HOME INVENTORY - Revenue</t>
  </si>
  <si>
    <t>SMART HOME INVENTORY - Cost Structure</t>
  </si>
  <si>
    <t>Key Assumptions</t>
  </si>
  <si>
    <t>Profit and Loss Statement</t>
  </si>
  <si>
    <t>Unit: VND | Điều chỉnh số user tại đây, các ô khác tự tính</t>
  </si>
  <si>
    <t>Unit: VND</t>
  </si>
  <si>
    <t>Unit: VND — Tự động tính từ Revenue và Assumption</t>
  </si>
  <si>
    <t>Chỉ số</t>
  </si>
  <si>
    <t>Unit: VND — Tất cả đều là công thức</t>
  </si>
  <si>
    <t>REVENUE STREAM 1: Subscription</t>
  </si>
  <si>
    <t>Giá trị</t>
  </si>
  <si>
    <t>Ghi chú</t>
  </si>
  <si>
    <t>Chỉ tiêu</t>
  </si>
  <si>
    <t>Premium Price (VNĐ/tháng)</t>
  </si>
  <si>
    <t>Items</t>
  </si>
  <si>
    <t>Q1/2027</t>
  </si>
  <si>
    <t>Q2/2027</t>
  </si>
  <si>
    <t>Q3/2027</t>
  </si>
  <si>
    <t>Khảo sát WTP 20,000-50,000đ</t>
  </si>
  <si>
    <t>Q4/2027</t>
  </si>
  <si>
    <t>INDEX</t>
  </si>
  <si>
    <t>Family Price (VNĐ/tháng)</t>
  </si>
  <si>
    <t>Q1/2028</t>
  </si>
  <si>
    <t>Q2/2028</t>
  </si>
  <si>
    <t>5 thành viên, chia sẻ dữ liệu</t>
  </si>
  <si>
    <t>Q3/2028</t>
  </si>
  <si>
    <t>Q4/2028</t>
  </si>
  <si>
    <t>Micro-POS Price (VNĐ/tháng)</t>
  </si>
  <si>
    <t>Q1/2029</t>
  </si>
  <si>
    <t>Khảo sát chủ cửa hàng</t>
  </si>
  <si>
    <t>Q2/2029</t>
  </si>
  <si>
    <t>Q3/2029</t>
  </si>
  <si>
    <t>Affiliate Commission Rate</t>
  </si>
  <si>
    <t>Q4/2029</t>
  </si>
  <si>
    <t>Total Revenue</t>
  </si>
  <si>
    <t>Shopee 1-10%, TikTok 2-15%</t>
  </si>
  <si>
    <t>Affiliate Avg Order Value</t>
  </si>
  <si>
    <t>Giá trị đơn hàng trung bình</t>
  </si>
  <si>
    <t>COST OF GOODS SOLD</t>
  </si>
  <si>
    <t>Affiliate CTR (N1)</t>
  </si>
  <si>
    <t>AI API (STT + Gemini)</t>
  </si>
  <si>
    <t>CTR trung bình năm đầu</t>
  </si>
  <si>
    <t xml:space="preserve">Free Users </t>
  </si>
  <si>
    <t>Affiliate CTR (N2)</t>
  </si>
  <si>
    <t>CTR trung bình năm 2</t>
  </si>
  <si>
    <t>Affiliate CTR (N3)</t>
  </si>
  <si>
    <t>CTR trung bình năm 3</t>
  </si>
  <si>
    <t>AI Cost Free User (VNĐ/th)</t>
  </si>
  <si>
    <t>~15 AI voice requests/tháng (Google STT + Gemini Flash)</t>
  </si>
  <si>
    <t>AI Cost Premium User (VNĐ/th)</t>
  </si>
  <si>
    <t>~60 AI voice requests/tháng</t>
  </si>
  <si>
    <t>AI Cost Family User (VNĐ/th)</t>
  </si>
  <si>
    <t>Premium Users</t>
  </si>
  <si>
    <t>~100 AI voice requests/tháng (5 thành viên)</t>
  </si>
  <si>
    <t>AI Cost MicroPOS (VNĐ/th)</t>
  </si>
  <si>
    <t>~180 AI voice requests/store/tháng</t>
  </si>
  <si>
    <t>Cloud Hosting Base (VNĐ/th)</t>
  </si>
  <si>
    <t>VPS(400k) + DB(300k) + Storage(200k)+ monitoring(100k)</t>
  </si>
  <si>
    <t>SMS/Notif API (VNĐ/th)</t>
  </si>
  <si>
    <t>Firebase Cloud Messaging</t>
  </si>
  <si>
    <t>Store Fee Rate</t>
  </si>
  <si>
    <t>Family Users</t>
  </si>
  <si>
    <t>Apple/Google Play 15%</t>
  </si>
  <si>
    <t>Payment Gateway Rate</t>
  </si>
  <si>
    <t>MoMo, VNPay, ZaloPay</t>
  </si>
  <si>
    <t>Token Stipend (6 người/3th)</t>
  </si>
  <si>
    <t>Cost of Goods Sold</t>
  </si>
  <si>
    <t>150k/người/3 tháng × 6 bao gồm cho 4 dev + 2 MKT</t>
  </si>
  <si>
    <t>WACC</t>
  </si>
  <si>
    <t>Chi phí vốn startup Pre-seed VN</t>
  </si>
  <si>
    <t>Micro-POS Users</t>
  </si>
  <si>
    <t>Growth Rate (g)</t>
  </si>
  <si>
    <t>Tăng trưởng dài hạn</t>
  </si>
  <si>
    <t>Corporate Tax Rate</t>
  </si>
  <si>
    <t>Luật Thuế TNDN VN(trong 3 năm đầu của startup)</t>
  </si>
  <si>
    <t>Churn Rate N1</t>
  </si>
  <si>
    <t>Tháng, giai đoạn đầu</t>
  </si>
  <si>
    <t>Churn Rate N2</t>
  </si>
  <si>
    <t>Cải thiện nhờ product stickiness</t>
  </si>
  <si>
    <t>Churn Rate N3</t>
  </si>
  <si>
    <t>Premium Revenue</t>
  </si>
  <si>
    <t>Family Sharing + gamification</t>
  </si>
  <si>
    <t>Cloud &amp; Hosting</t>
  </si>
  <si>
    <t>Gross Profit</t>
  </si>
  <si>
    <t>Gross Margin %</t>
  </si>
  <si>
    <t>SMS &amp; Notification API</t>
  </si>
  <si>
    <t>Family Revenue</t>
  </si>
  <si>
    <t>Operating Expenses (Cash)</t>
  </si>
  <si>
    <t>Payment Gateway Fee</t>
  </si>
  <si>
    <t>EBIT (Cash)</t>
  </si>
  <si>
    <t>Micro-POS Revenue</t>
  </si>
  <si>
    <t>EBIT (Full Accrual)</t>
  </si>
  <si>
    <t>Fundraising Plan</t>
  </si>
  <si>
    <t>Khoản mục</t>
  </si>
  <si>
    <t>Năm 1 (2027)</t>
  </si>
  <si>
    <t>Năm 2 (2028)</t>
  </si>
  <si>
    <t>Năm 3 (2029)</t>
  </si>
  <si>
    <t>Planned Revenue</t>
  </si>
  <si>
    <t>Store Fee (Apple/Google 15%)</t>
  </si>
  <si>
    <t>Planned COGS</t>
  </si>
  <si>
    <t>Total Subscription Revenue</t>
  </si>
  <si>
    <t>Planned OPEX (Cash)</t>
  </si>
  <si>
    <t>Net Cash Flow (Annual)</t>
  </si>
  <si>
    <t>REVENUE STREAM 2: Affiliate Marketing</t>
  </si>
  <si>
    <t>3-Year Total Cash Flow</t>
  </si>
  <si>
    <t>Corporate Tax (20%)</t>
  </si>
  <si>
    <t>FUNDING SOURCES</t>
  </si>
  <si>
    <t>Total COGS</t>
  </si>
  <si>
    <t>Nguồn vốn</t>
  </si>
  <si>
    <t>Số tiền</t>
  </si>
  <si>
    <t>Loại</t>
  </si>
  <si>
    <t>Founder Contribution (6 người)</t>
  </si>
  <si>
    <t>Equity</t>
  </si>
  <si>
    <t>Affiliate Revenue</t>
  </si>
  <si>
    <t>1,000,000đ/người</t>
  </si>
  <si>
    <t>FPT Education Grant</t>
  </si>
  <si>
    <t>Non-dilutive</t>
  </si>
  <si>
    <t xml:space="preserve">Đang chờ </t>
  </si>
  <si>
    <t>Tổng vốn huy động</t>
  </si>
  <si>
    <t>Chi phí cash Năm 1</t>
  </si>
  <si>
    <t>Thặng dư/Thiếu hụt</t>
  </si>
  <si>
    <t>OPERATING EXPENSES</t>
  </si>
  <si>
    <t>USE OF FUNDS (Năm 1)</t>
  </si>
  <si>
    <t>Hạng mục</t>
  </si>
  <si>
    <t>Marketing &amp; Promotion</t>
  </si>
  <si>
    <t>Tỷ lệ</t>
  </si>
  <si>
    <t>Giải thích</t>
  </si>
  <si>
    <t>Marketing &amp; User Acquisition</t>
  </si>
  <si>
    <t>Token Stipend (Cash)</t>
  </si>
  <si>
    <t>KOC, TikTok Ads, Referral</t>
  </si>
  <si>
    <t>Product &amp; Tech</t>
  </si>
  <si>
    <t>AI API, Cloud, Database</t>
  </si>
  <si>
    <t>Operation &amp; Admin</t>
  </si>
  <si>
    <t>Maintenance &amp; Monitoring</t>
  </si>
  <si>
    <t>Domain, tool, stipend</t>
  </si>
  <si>
    <t>Dự phòng</t>
  </si>
  <si>
    <t>Deferred Salary (Lương treo)</t>
  </si>
  <si>
    <t>Rủi ro phát sinh</t>
  </si>
  <si>
    <t>Tổng</t>
  </si>
  <si>
    <t>Net Profit / (Loss) Full Accrual</t>
  </si>
  <si>
    <t>Total OPEX (Full Accrual)</t>
  </si>
  <si>
    <t>Net Margin %</t>
  </si>
  <si>
    <t>Total OPEX (Cash only)</t>
  </si>
  <si>
    <t>GRAND TOTAL REVENUE</t>
  </si>
  <si>
    <t>3-YEAR TOTAL NET PROFIT/LOSS</t>
  </si>
  <si>
    <t>Cumulative Net Profit (Cash)</t>
  </si>
  <si>
    <t>TOTAL COST &amp; EXPENSES</t>
  </si>
  <si>
    <t>Unit Economics (CAC / LTV / Breakeven)</t>
  </si>
  <si>
    <t>Năm 1</t>
  </si>
  <si>
    <t>Năm 2</t>
  </si>
  <si>
    <t>Năm 3</t>
  </si>
  <si>
    <t>Tổng Marketing</t>
  </si>
  <si>
    <t>User trả phí mới (Premium+Family+Micro)</t>
  </si>
  <si>
    <t>CAC (VNĐ) = Marketing / New Paid</t>
  </si>
  <si>
    <t>ARPU trung bình (VNĐ/tháng)</t>
  </si>
  <si>
    <t>Churn rate/tháng</t>
  </si>
  <si>
    <t>Lifetime (tháng) = 1/Churn</t>
  </si>
  <si>
    <t>LTV = (ARPU − Chi phí AI − Phí Store 15% − Phí thanh toán 3%) × Lifetime</t>
  </si>
  <si>
    <t>LTV / CAC Ratio</t>
  </si>
  <si>
    <t>BREAKEVEN ANALYSIS</t>
  </si>
  <si>
    <t>Công thức: BE_Users = Cash_FC / (ARPU - Var_cost)</t>
  </si>
  <si>
    <t>Kịch bản</t>
  </si>
  <si>
    <t>FC cash/tháng</t>
  </si>
  <si>
    <t>ARPU</t>
  </si>
  <si>
    <t>Var/user</t>
  </si>
  <si>
    <t>Users cần</t>
  </si>
  <si>
    <t>Bi quan (churn 12%)</t>
  </si>
  <si>
    <t>Cơ sở (churn 10%)</t>
  </si>
  <si>
    <t>Lạc quan (churn 5%)</t>
  </si>
  <si>
    <t>Sources &amp; References</t>
  </si>
  <si>
    <t>Topic</t>
  </si>
  <si>
    <t>Nội dung</t>
  </si>
  <si>
    <t xml:space="preserve">Valuation (Comparables Method - Sum-of-Parts) </t>
  </si>
  <si>
    <t>Link</t>
  </si>
  <si>
    <t>ASSUMPTION</t>
  </si>
  <si>
    <t>Lãng phí B2C: 123.000đ/tháng</t>
  </si>
  <si>
    <t>Khảo sát 96 người</t>
  </si>
  <si>
    <t>Thất thoát B2B: 550.000đ/tháng</t>
  </si>
  <si>
    <t>Khảo sát 15 chủ cửa hàng</t>
  </si>
  <si>
    <t>WTP B2C: 20.000-50.000đ (39 người)</t>
  </si>
  <si>
    <t>Khảo sát 111 người</t>
  </si>
  <si>
    <t>1. DOANH THU NĂM 3 (2029) THEO NGÁCH — cơ sở Sum-of-Parts</t>
  </si>
  <si>
    <t>WTP B2B: 100.000-200.000đ (12 người)</t>
  </si>
  <si>
    <t>Khảo sát 52 chủ cửa hàng</t>
  </si>
  <si>
    <t>Tăng trưởng Home Tech: 18.7%/năm</t>
  </si>
  <si>
    <t>https://seller.alibaba.com/blogs/2026/southeast-asia/smart-home-devices/bridging-the-compatibility-chasm</t>
  </si>
  <si>
    <t>Dòng doanh thu</t>
  </si>
  <si>
    <t>Doanh thu Năm 3 - 2029 (VND)</t>
  </si>
  <si>
    <t>Ngách tương ứng (dùng để chọn multiple)</t>
  </si>
  <si>
    <t>B2C Subscription (Premium + Family)</t>
  </si>
  <si>
    <t>Báo cáo thị trường</t>
  </si>
  <si>
    <t>TECH COST</t>
  </si>
  <si>
    <t>Consumer subscription app</t>
  </si>
  <si>
    <t>Text to speech tool gg</t>
  </si>
  <si>
    <t>https://cloud.google.com/speech-to-text/pricing?utm_source=chatgpt.com</t>
  </si>
  <si>
    <t>B2B Micro-POS</t>
  </si>
  <si>
    <t>Vertical SaaS - Retail/POS</t>
  </si>
  <si>
    <t>Affiliate Marketing</t>
  </si>
  <si>
    <t>Commission / Ads-like revenue</t>
  </si>
  <si>
    <t>Gemini 3.5 Flash pricing</t>
  </si>
  <si>
    <t>https://ai.google.dev/pricing</t>
  </si>
  <si>
    <t>TOTAL Doanh thu Năm 3</t>
  </si>
  <si>
    <t>Google AI (07/2026)</t>
  </si>
  <si>
    <t>✓ Khớp Revenue sheet</t>
  </si>
  <si>
    <t>https://firebase.google.com/pricing</t>
  </si>
  <si>
    <t>2. EV/REVENUE MULTIPLE THEO NGÁCH (sourced — sát ngách hơn SaaS chung toàn cầu)</t>
  </si>
  <si>
    <t>Ngách</t>
  </si>
  <si>
    <t>Firebase free tier</t>
  </si>
  <si>
    <t>Thận trọng</t>
  </si>
  <si>
    <t>MongoDB Atlas</t>
  </si>
  <si>
    <t>Cơ sở</t>
  </si>
  <si>
    <t>https://www.mongodb.com/pricing</t>
  </si>
  <si>
    <t>Lạc quan</t>
  </si>
  <si>
    <t>Nguồn / Ghi chú</t>
  </si>
  <si>
    <t>Free tier up to 512MB</t>
  </si>
  <si>
    <t>Domain .vn pricing</t>
  </si>
  <si>
    <t>https://tenten.vn/vi/dang-ky-ten-mien</t>
  </si>
  <si>
    <t>B2C Subscription</t>
  </si>
  <si>
    <t>Các nhà đăng ký tên miền VN</t>
  </si>
  <si>
    <t>REVENUE</t>
  </si>
  <si>
    <t>Premium 29.000đ, Family 59.000đ</t>
  </si>
  <si>
    <t>Micro-SaaS sub-$1M ARR: 2.5-4x ARR (CT Acquisitions, 2026); chiết khấu thêm cho B2C do churn cao/LTV thấp hơn B2B</t>
  </si>
  <si>
    <t>WTP khảo sát</t>
  </si>
  <si>
    <t>Micro-POS 149.000đ</t>
  </si>
  <si>
    <t>So sánh KiotViet 250-490k</t>
  </si>
  <si>
    <t>Shopee Affiliate 1-10%</t>
  </si>
  <si>
    <t>https://affiliate.shopee.vn/</t>
  </si>
  <si>
    <t>Vertical SaaS Retail/Restaurant: 3-6x ARR (SaaS Capital Index + KeyBanc KBCM Survey 2025, Q1 2026); giảm cho pre-seed</t>
  </si>
  <si>
    <t>Shopee Affiliate Program</t>
  </si>
  <si>
    <t>TikTok Shop Affiliate 2-15%</t>
  </si>
  <si>
    <t>https://seller-vn.tiktok.com/</t>
  </si>
  <si>
    <t>Thấp hơn SaaS; gần agency/ads multiple (~2.75x - Newfrontier Funding); chiết khấu mạnh do quy mô nhỏ + rủi ro cao</t>
  </si>
  <si>
    <t>3. ĐỊNH GIÁ CHÍNH THỨC — SUM-OF-PARTS COMPARABLES</t>
  </si>
  <si>
    <t>TikTok Shop</t>
  </si>
  <si>
    <t>COMPETITOR</t>
  </si>
  <si>
    <t>KiotViet: 250.000-490.000đ/tháng</t>
  </si>
  <si>
    <t>B2C EV (VND)</t>
  </si>
  <si>
    <t>Website KiotViet</t>
  </si>
  <si>
    <t>NoWaste: không hỗ trợ tiếng Việt</t>
  </si>
  <si>
    <t>Micro-POS EV (VND)</t>
  </si>
  <si>
    <t>Affiliate EV (VND)</t>
  </si>
  <si>
    <t>App Store</t>
  </si>
  <si>
    <t>TOTAL Implied EV (VND)</t>
  </si>
  <si>
    <t>Sortly: $24/tháng</t>
  </si>
  <si>
    <t>https://www.sortly.com/pricing/</t>
  </si>
  <si>
    <t>Website Sortly</t>
  </si>
  <si>
    <t>VALUATION</t>
  </si>
  <si>
    <t>Berkus Method</t>
  </si>
  <si>
    <t>https://berkus.com/the-berkus-method-valuing-an-early-stage-investment-2/</t>
  </si>
  <si>
    <t>Dave Berkus</t>
  </si>
  <si>
    <t>Scorecard Method</t>
  </si>
  <si>
    <t>Bill Payne</t>
  </si>
  <si>
    <t>WACC 15% Pre-seed VN</t>
  </si>
  <si>
    <t>Tham chiếu thị trường</t>
  </si>
  <si>
    <t>Thuế TNDN 20%</t>
  </si>
  <si>
    <t>https://thuvienphapluat.vn/</t>
  </si>
  <si>
    <t>Luật Thuế VN</t>
  </si>
  <si>
    <t>GIÁ TRỊ SỬ DỤNG CHO PITCH: Kịch bản 'Cơ sở' (~2,406,086,250 VNĐ) làm pre-money chính thức theo Comparables Method (Sum-of-Parts theo ngách) — không dùng DCF. Berkus (mục 4) chỉ dùng KIỂM TRA CHÉO, không thay thế Comparables.</t>
  </si>
  <si>
    <t>4. BERKUS METHOD (Kiểm tra chéo — KHÔNG phải định giá chính thức)</t>
  </si>
  <si>
    <t>Yếu tố</t>
  </si>
  <si>
    <t>Giá tối đa</t>
  </si>
  <si>
    <t>Hệ số</t>
  </si>
  <si>
    <t>Kết quả</t>
  </si>
  <si>
    <t>Basic Idea</t>
  </si>
  <si>
    <t>Prototype/MVP</t>
  </si>
  <si>
    <t>Team Quality</t>
  </si>
  <si>
    <t>Strategic Relationships</t>
  </si>
  <si>
    <t>Product Rollout</t>
  </si>
  <si>
    <t>Pre-money (Berkus)</t>
  </si>
  <si>
    <t>5. EQUITY SENSITIVITY (% Equity = Raise / (Pre-money + Raise))</t>
  </si>
  <si>
    <t>Raise ↓ / Pre-money →</t>
  </si>
  <si>
    <t>1.000tỷ</t>
  </si>
  <si>
    <t>2.000tỷ</t>
  </si>
  <si>
    <t>3.000tỷ</t>
  </si>
  <si>
    <t>4.000tỷ</t>
  </si>
  <si>
    <t>50.000.000đ</t>
  </si>
  <si>
    <t>4,8%</t>
  </si>
  <si>
    <t>2,4%</t>
  </si>
  <si>
    <t>1,6%</t>
  </si>
  <si>
    <t>1,2%</t>
  </si>
  <si>
    <t>80.000.000đ</t>
  </si>
  <si>
    <t>7,4%</t>
  </si>
  <si>
    <t>3,8%</t>
  </si>
  <si>
    <t>2,6%</t>
  </si>
  <si>
    <t>2,0%</t>
  </si>
  <si>
    <t>100.000.000đ</t>
  </si>
  <si>
    <t>9,1%</t>
  </si>
  <si>
    <t>3,2%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</si>
</sst>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&quot;x&quot;"/>
  </numFmts>
  <fonts count="23">
    <font>
      <sz val="11.0"/>
      <color theme="1"/>
      <name val="Calibri"/>
      <scheme val="minor"/>
    </font>
    <font>
      <b/>
      <sz val="14.0"/>
      <color rgb="FF1F4E79"/>
      <name val="Calibri"/>
    </font>
    <font/>
    <font>
      <b/>
      <sz val="11.0"/>
      <color rgb="FF2E75B6"/>
      <name val="Calibri"/>
    </font>
    <font>
      <sz val="10.0"/>
      <color theme="1"/>
      <name val="Calibri"/>
    </font>
    <font>
      <b/>
      <sz val="12.0"/>
      <color rgb="FFFFFFFF"/>
      <name val="Calibri"/>
    </font>
    <font>
      <b/>
      <sz val="11.0"/>
      <color rgb="FF000000"/>
      <name val="Calibri"/>
    </font>
    <font>
      <b/>
      <sz val="10.0"/>
      <color rgb="FFC00000"/>
      <name val="Calibri"/>
    </font>
    <font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  <font>
      <sz val="10.0"/>
      <color rgb="FFFFFFFF"/>
      <name val="Calibri"/>
    </font>
    <font>
      <sz val="11.0"/>
      <color rgb="FF000000"/>
      <name val="Calibri"/>
    </font>
    <font>
      <color rgb="FF000000"/>
      <name val="Calibri"/>
    </font>
    <font>
      <u/>
      <sz val="11.0"/>
      <color theme="10"/>
      <name val="Arial"/>
    </font>
    <font>
      <u/>
      <sz val="10.0"/>
      <color rgb="FF0000FF"/>
      <name val="Calibri"/>
    </font>
    <font>
      <u/>
      <sz val="10.0"/>
      <color rgb="FF0000FF"/>
      <name val="Calibri"/>
    </font>
    <font>
      <b/>
      <sz val="11.0"/>
      <color rgb="FFC00000"/>
      <name val="Calibri"/>
    </font>
    <font>
      <b/>
      <color rgb="FFC00000"/>
      <name val="Calibri"/>
    </font>
    <font>
      <i/>
      <sz val="9.0"/>
      <color rgb="FF595959"/>
      <name val="Calibri"/>
    </font>
    <font>
      <b/>
      <color rgb="FF1F4E7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4" fillId="2" fontId="5" numFmtId="0" xfId="0" applyAlignment="1" applyBorder="1" applyFill="1" applyFont="1">
      <alignment horizontal="center"/>
    </xf>
    <xf borderId="1" fillId="3" fontId="6" numFmtId="0" xfId="0" applyBorder="1" applyFill="1" applyFont="1"/>
    <xf borderId="4" fillId="0" fontId="4" numFmtId="0" xfId="0" applyBorder="1" applyFont="1"/>
    <xf borderId="4" fillId="0" fontId="7" numFmtId="3" xfId="0" applyAlignment="1" applyBorder="1" applyFont="1" applyNumberFormat="1">
      <alignment horizontal="center"/>
    </xf>
    <xf borderId="5" fillId="2" fontId="5" numFmtId="0" xfId="0" applyAlignment="1" applyBorder="1" applyFont="1">
      <alignment horizontal="center"/>
    </xf>
    <xf borderId="4" fillId="0" fontId="7" numFmtId="9" xfId="0" applyAlignment="1" applyBorder="1" applyFont="1" applyNumberFormat="1">
      <alignment horizontal="center"/>
    </xf>
    <xf borderId="4" fillId="3" fontId="6" numFmtId="0" xfId="0" applyBorder="1" applyFont="1"/>
    <xf borderId="4" fillId="0" fontId="4" numFmtId="0" xfId="0" applyAlignment="1" applyBorder="1" applyFont="1">
      <alignment readingOrder="0"/>
    </xf>
    <xf borderId="4" fillId="0" fontId="7" numFmtId="9" xfId="0" applyAlignment="1" applyBorder="1" applyFont="1" applyNumberFormat="1">
      <alignment horizontal="center" readingOrder="0"/>
    </xf>
    <xf borderId="6" fillId="4" fontId="8" numFmtId="0" xfId="0" applyAlignment="1" applyBorder="1" applyFill="1" applyFont="1">
      <alignment readingOrder="0" shrinkToFit="0" vertical="center" wrapText="1"/>
    </xf>
    <xf borderId="4" fillId="3" fontId="6" numFmtId="3" xfId="0" applyBorder="1" applyFont="1" applyNumberFormat="1"/>
    <xf borderId="6" fillId="5" fontId="9" numFmtId="0" xfId="0" applyAlignment="1" applyBorder="1" applyFill="1" applyFont="1">
      <alignment readingOrder="0" shrinkToFit="0" vertical="center" wrapText="1"/>
    </xf>
    <xf borderId="4" fillId="0" fontId="7" numFmtId="3" xfId="0" applyAlignment="1" applyBorder="1" applyFont="1" applyNumberFormat="1">
      <alignment horizontal="center" readingOrder="0"/>
    </xf>
    <xf borderId="4" fillId="4" fontId="8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/>
    </xf>
    <xf borderId="4" fillId="5" fontId="9" numFmtId="0" xfId="0" applyAlignment="1" applyBorder="1" applyFont="1">
      <alignment shrinkToFit="0" vertical="center" wrapText="1"/>
    </xf>
    <xf borderId="4" fillId="0" fontId="6" numFmtId="0" xfId="0" applyBorder="1" applyFont="1"/>
    <xf borderId="4" fillId="0" fontId="4" numFmtId="3" xfId="0" applyBorder="1" applyFont="1" applyNumberFormat="1"/>
    <xf borderId="7" fillId="0" fontId="4" numFmtId="0" xfId="0" applyBorder="1" applyFont="1"/>
    <xf borderId="0" fillId="6" fontId="11" numFmtId="0" xfId="0" applyFill="1" applyFont="1"/>
    <xf borderId="0" fillId="6" fontId="12" numFmtId="0" xfId="0" applyFont="1"/>
    <xf borderId="0" fillId="6" fontId="13" numFmtId="0" xfId="0" applyFont="1"/>
    <xf borderId="7" fillId="0" fontId="4" numFmtId="3" xfId="0" applyBorder="1" applyFont="1" applyNumberFormat="1"/>
    <xf borderId="4" fillId="0" fontId="4" numFmtId="164" xfId="0" applyBorder="1" applyFont="1" applyNumberFormat="1"/>
    <xf borderId="4" fillId="0" fontId="7" numFmtId="0" xfId="0" applyBorder="1" applyFont="1"/>
    <xf borderId="4" fillId="0" fontId="7" numFmtId="3" xfId="0" applyBorder="1" applyFont="1" applyNumberFormat="1"/>
    <xf borderId="4" fillId="0" fontId="1" numFmtId="0" xfId="0" applyBorder="1" applyFont="1"/>
    <xf borderId="4" fillId="0" fontId="1" numFmtId="3" xfId="0" applyBorder="1" applyFont="1" applyNumberFormat="1"/>
    <xf borderId="4" fillId="3" fontId="1" numFmtId="0" xfId="0" applyBorder="1" applyFont="1"/>
    <xf borderId="4" fillId="0" fontId="4" numFmtId="3" xfId="0" applyAlignment="1" applyBorder="1" applyFont="1" applyNumberFormat="1">
      <alignment readingOrder="0"/>
    </xf>
    <xf borderId="4" fillId="0" fontId="4" numFmtId="164" xfId="0" applyAlignment="1" applyBorder="1" applyFont="1" applyNumberFormat="1">
      <alignment horizontal="center"/>
    </xf>
    <xf borderId="4" fillId="0" fontId="4" numFmtId="3" xfId="0" applyBorder="1" applyFont="1" applyNumberFormat="1"/>
    <xf borderId="4" fillId="0" fontId="1" numFmtId="164" xfId="0" applyAlignment="1" applyBorder="1" applyFont="1" applyNumberFormat="1">
      <alignment horizontal="center"/>
    </xf>
    <xf borderId="4" fillId="0" fontId="1" numFmtId="3" xfId="0" applyBorder="1" applyFont="1" applyNumberFormat="1"/>
    <xf borderId="4" fillId="3" fontId="1" numFmtId="3" xfId="0" applyBorder="1" applyFont="1" applyNumberFormat="1"/>
    <xf borderId="1" fillId="3" fontId="1" numFmtId="0" xfId="0" applyBorder="1" applyFont="1"/>
    <xf borderId="4" fillId="3" fontId="7" numFmtId="3" xfId="0" applyBorder="1" applyFont="1" applyNumberFormat="1"/>
    <xf borderId="4" fillId="0" fontId="4" numFmtId="165" xfId="0" applyBorder="1" applyFont="1" applyNumberFormat="1"/>
    <xf borderId="4" fillId="0" fontId="7" numFmtId="0" xfId="0" applyAlignment="1" applyBorder="1" applyFont="1">
      <alignment readingOrder="0"/>
    </xf>
    <xf borderId="4" fillId="0" fontId="6" numFmtId="166" xfId="0" applyBorder="1" applyFont="1" applyNumberFormat="1"/>
    <xf borderId="8" fillId="0" fontId="1" numFmtId="0" xfId="0" applyAlignment="1" applyBorder="1" applyFont="1">
      <alignment readingOrder="0" shrinkToFit="0" vertical="bottom" wrapText="0"/>
    </xf>
    <xf borderId="8" fillId="0" fontId="14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2" fontId="5" numFmtId="0" xfId="0" applyAlignment="1" applyBorder="1" applyFont="1">
      <alignment horizontal="center" readingOrder="0"/>
    </xf>
    <xf borderId="8" fillId="0" fontId="14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9" fillId="3" fontId="6" numFmtId="0" xfId="0" applyAlignment="1" applyBorder="1" applyFont="1">
      <alignment readingOrder="0" shrinkToFit="0" vertical="bottom" wrapText="0"/>
    </xf>
    <xf borderId="10" fillId="0" fontId="2" numFmtId="0" xfId="0" applyBorder="1" applyFont="1"/>
    <xf borderId="0" fillId="0" fontId="16" numFmtId="0" xfId="0" applyFont="1"/>
    <xf borderId="11" fillId="0" fontId="2" numFmtId="0" xfId="0" applyBorder="1" applyFont="1"/>
    <xf borderId="8" fillId="2" fontId="5" numFmtId="0" xfId="0" applyAlignment="1" applyBorder="1" applyFont="1">
      <alignment horizontal="center" readingOrder="0" shrinkToFit="0" wrapText="0"/>
    </xf>
    <xf borderId="8" fillId="2" fontId="14" numFmtId="0" xfId="0" applyAlignment="1" applyBorder="1" applyFont="1">
      <alignment shrinkToFit="0" vertical="bottom" wrapText="0"/>
    </xf>
    <xf borderId="8" fillId="2" fontId="14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readingOrder="0"/>
    </xf>
    <xf borderId="8" fillId="0" fontId="15" numFmtId="3" xfId="0" applyAlignment="1" applyBorder="1" applyFont="1" applyNumberFormat="1">
      <alignment horizontal="left" readingOrder="0" shrinkToFit="0" wrapText="0"/>
    </xf>
    <xf borderId="8" fillId="0" fontId="15" numFmtId="3" xfId="0" applyAlignment="1" applyBorder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18" numFmtId="0" xfId="0" applyAlignment="1" applyFont="1">
      <alignment readingOrder="0" shrinkToFit="0" wrapText="0"/>
    </xf>
    <xf borderId="8" fillId="0" fontId="19" numFmtId="0" xfId="0" applyAlignment="1" applyBorder="1" applyFont="1">
      <alignment readingOrder="0" shrinkToFit="0" vertical="bottom" wrapText="0"/>
    </xf>
    <xf borderId="8" fillId="0" fontId="19" numFmtId="3" xfId="0" applyAlignment="1" applyBorder="1" applyFont="1" applyNumberFormat="1">
      <alignment horizontal="left" readingOrder="0" shrinkToFit="0" wrapText="0"/>
    </xf>
    <xf borderId="0" fillId="6" fontId="10" numFmtId="0" xfId="0" applyFont="1"/>
    <xf borderId="8" fillId="0" fontId="20" numFmtId="0" xfId="0" applyAlignment="1" applyBorder="1" applyFont="1">
      <alignment horizontal="right" readingOrder="0" shrinkToFit="0" wrapText="0"/>
    </xf>
    <xf borderId="8" fillId="0" fontId="21" numFmtId="0" xfId="0" applyAlignment="1" applyBorder="1" applyFont="1">
      <alignment readingOrder="0"/>
    </xf>
    <xf borderId="8" fillId="0" fontId="20" numFmtId="165" xfId="0" applyAlignment="1" applyBorder="1" applyFont="1" applyNumberFormat="1">
      <alignment horizontal="right" readingOrder="0" shrinkToFit="0" wrapText="0"/>
    </xf>
    <xf borderId="8" fillId="0" fontId="20" numFmtId="1" xfId="0" applyAlignment="1" applyBorder="1" applyFont="1" applyNumberFormat="1">
      <alignment horizontal="right" readingOrder="0" shrinkToFit="0" wrapText="0"/>
    </xf>
    <xf borderId="0" fillId="0" fontId="14" numFmtId="3" xfId="0" applyAlignment="1" applyFont="1" applyNumberFormat="1">
      <alignment shrinkToFit="0" vertical="bottom" wrapText="0"/>
    </xf>
    <xf borderId="8" fillId="2" fontId="5" numFmtId="3" xfId="0" applyAlignment="1" applyBorder="1" applyFont="1" applyNumberFormat="1">
      <alignment horizontal="center" readingOrder="0" shrinkToFit="0" wrapText="0"/>
    </xf>
    <xf borderId="8" fillId="0" fontId="15" numFmtId="3" xfId="0" applyAlignment="1" applyBorder="1" applyFont="1" applyNumberFormat="1">
      <alignment horizontal="right" readingOrder="0" shrinkToFit="0" wrapText="0"/>
    </xf>
    <xf borderId="8" fillId="0" fontId="6" numFmtId="3" xfId="0" applyAlignment="1" applyBorder="1" applyFont="1" applyNumberFormat="1">
      <alignment horizontal="center" readingOrder="0" shrinkToFit="0" wrapText="0"/>
    </xf>
    <xf borderId="8" fillId="0" fontId="19" numFmtId="3" xfId="0" applyAlignment="1" applyBorder="1" applyFont="1" applyNumberFormat="1">
      <alignment horizontal="center" readingOrder="0" shrinkToFit="0" wrapText="0"/>
    </xf>
    <xf borderId="9" fillId="7" fontId="22" numFmtId="0" xfId="0" applyAlignment="1" applyBorder="1" applyFill="1" applyFont="1">
      <alignment readingOrder="0"/>
    </xf>
    <xf borderId="0" fillId="0" fontId="14" numFmtId="165" xfId="0" applyAlignment="1" applyFont="1" applyNumberFormat="1">
      <alignment shrinkToFit="0" vertical="bottom" wrapText="0"/>
    </xf>
    <xf borderId="8" fillId="2" fontId="5" numFmtId="165" xfId="0" applyAlignment="1" applyBorder="1" applyFont="1" applyNumberFormat="1">
      <alignment horizontal="center" readingOrder="0" shrinkToFit="0" wrapText="0"/>
    </xf>
    <xf borderId="8" fillId="0" fontId="20" numFmtId="3" xfId="0" applyAlignment="1" applyBorder="1" applyFont="1" applyNumberFormat="1">
      <alignment horizontal="right" readingOrder="0" shrinkToFit="0" wrapText="0"/>
    </xf>
    <xf borderId="8" fillId="0" fontId="19" numFmtId="3" xfId="0" applyAlignment="1" applyBorder="1" applyFont="1" applyNumberFormat="1">
      <alignment horizontal="right" readingOrder="0" shrinkToFit="0" wrapText="0"/>
    </xf>
    <xf borderId="0" fillId="0" fontId="14" numFmtId="0" xfId="0" applyAlignment="1" applyFont="1">
      <alignment shrinkToFit="0" vertical="bottom" wrapText="0"/>
    </xf>
    <xf borderId="0" fillId="0" fontId="14" numFmtId="10" xfId="0" applyAlignment="1" applyFont="1" applyNumberFormat="1">
      <alignment shrinkToFit="0" vertical="bottom" wrapText="0"/>
    </xf>
    <xf borderId="8" fillId="0" fontId="15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.alibaba.com/blogs/2026/southeast-asia/smart-home-devices/bridging-the-compatibility-chasm" TargetMode="External"/><Relationship Id="rId2" Type="http://schemas.openxmlformats.org/officeDocument/2006/relationships/hyperlink" Target="https://cloud.google.com/speech-to-text/pricing?utm_source=chatgpt.com" TargetMode="External"/><Relationship Id="rId3" Type="http://schemas.openxmlformats.org/officeDocument/2006/relationships/hyperlink" Target="https://ai.google.dev/pricing" TargetMode="External"/><Relationship Id="rId4" Type="http://schemas.openxmlformats.org/officeDocument/2006/relationships/hyperlink" Target="https://firebase.google.com/pricing" TargetMode="External"/><Relationship Id="rId11" Type="http://schemas.openxmlformats.org/officeDocument/2006/relationships/hyperlink" Target="https://thuvienphapluat.vn/" TargetMode="External"/><Relationship Id="rId10" Type="http://schemas.openxmlformats.org/officeDocument/2006/relationships/hyperlink" Target="https://berkus.com/the-berkus-method-valuing-an-early-stage-investment-2/" TargetMode="External"/><Relationship Id="rId12" Type="http://schemas.openxmlformats.org/officeDocument/2006/relationships/drawing" Target="../drawings/drawing8.xml"/><Relationship Id="rId9" Type="http://schemas.openxmlformats.org/officeDocument/2006/relationships/hyperlink" Target="https://www.sortly.com/pricing/" TargetMode="External"/><Relationship Id="rId5" Type="http://schemas.openxmlformats.org/officeDocument/2006/relationships/hyperlink" Target="https://www.mongodb.com/pricing" TargetMode="External"/><Relationship Id="rId6" Type="http://schemas.openxmlformats.org/officeDocument/2006/relationships/hyperlink" Target="https://tenten.vn/vi/dang-ky-ten-mien" TargetMode="External"/><Relationship Id="rId7" Type="http://schemas.openxmlformats.org/officeDocument/2006/relationships/hyperlink" Target="https://affiliate.shopee.vn/" TargetMode="External"/><Relationship Id="rId8" Type="http://schemas.openxmlformats.org/officeDocument/2006/relationships/hyperlink" Target="https://seller-vn.tikt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50.0"/>
    <col customWidth="1" min="4" max="26" width="8.71"/>
  </cols>
  <sheetData>
    <row r="1" ht="13.5" customHeight="1">
      <c r="A1" s="1" t="s">
        <v>0</v>
      </c>
      <c r="B1" s="2"/>
      <c r="C1" s="3"/>
    </row>
    <row r="2" ht="13.5" customHeight="1">
      <c r="A2" s="4" t="s">
        <v>3</v>
      </c>
      <c r="B2" s="2"/>
      <c r="C2" s="3"/>
    </row>
    <row r="3" ht="13.5" customHeight="1">
      <c r="A3" s="5" t="s">
        <v>6</v>
      </c>
      <c r="B3" s="2"/>
      <c r="C3" s="3"/>
    </row>
    <row r="4" ht="13.5" customHeight="1">
      <c r="A4" s="6" t="s">
        <v>8</v>
      </c>
      <c r="B4" s="6" t="s">
        <v>11</v>
      </c>
      <c r="C4" s="6" t="s">
        <v>12</v>
      </c>
    </row>
    <row r="5" ht="13.5" customHeight="1">
      <c r="A5" s="8" t="s">
        <v>14</v>
      </c>
      <c r="B5" s="9">
        <v>29000.0</v>
      </c>
      <c r="C5" s="8" t="s">
        <v>19</v>
      </c>
    </row>
    <row r="6" ht="13.5" customHeight="1">
      <c r="A6" s="8" t="s">
        <v>22</v>
      </c>
      <c r="B6" s="9">
        <v>59000.0</v>
      </c>
      <c r="C6" s="8" t="s">
        <v>25</v>
      </c>
    </row>
    <row r="7" ht="13.5" customHeight="1">
      <c r="A7" s="8" t="s">
        <v>28</v>
      </c>
      <c r="B7" s="9">
        <v>149000.0</v>
      </c>
      <c r="C7" s="8" t="s">
        <v>30</v>
      </c>
    </row>
    <row r="8" ht="13.5" customHeight="1">
      <c r="A8" s="8" t="s">
        <v>33</v>
      </c>
      <c r="B8" s="11">
        <v>0.05</v>
      </c>
      <c r="C8" s="8" t="s">
        <v>36</v>
      </c>
    </row>
    <row r="9" ht="13.5" customHeight="1">
      <c r="A9" s="8" t="s">
        <v>37</v>
      </c>
      <c r="B9" s="9">
        <v>200000.0</v>
      </c>
      <c r="C9" s="8" t="s">
        <v>38</v>
      </c>
    </row>
    <row r="10" ht="13.5" customHeight="1">
      <c r="A10" s="13" t="s">
        <v>40</v>
      </c>
      <c r="B10" s="14">
        <v>0.02</v>
      </c>
      <c r="C10" s="13" t="s">
        <v>42</v>
      </c>
    </row>
    <row r="11" ht="13.5" customHeight="1">
      <c r="A11" s="13" t="s">
        <v>44</v>
      </c>
      <c r="B11" s="14">
        <v>0.03</v>
      </c>
      <c r="C11" s="13" t="s">
        <v>45</v>
      </c>
    </row>
    <row r="12" ht="13.5" customHeight="1">
      <c r="A12" s="13" t="s">
        <v>46</v>
      </c>
      <c r="B12" s="14">
        <v>0.05</v>
      </c>
      <c r="C12" s="13" t="s">
        <v>47</v>
      </c>
    </row>
    <row r="13" ht="13.5" customHeight="1">
      <c r="A13" s="8" t="s">
        <v>48</v>
      </c>
      <c r="B13" s="18">
        <v>1300.0</v>
      </c>
      <c r="C13" s="13" t="s">
        <v>49</v>
      </c>
    </row>
    <row r="14" ht="13.5" customHeight="1">
      <c r="A14" s="8" t="s">
        <v>50</v>
      </c>
      <c r="B14" s="18">
        <v>4000.0</v>
      </c>
      <c r="C14" s="13" t="s">
        <v>51</v>
      </c>
    </row>
    <row r="15" ht="13.5" customHeight="1">
      <c r="A15" s="13" t="s">
        <v>52</v>
      </c>
      <c r="B15" s="18">
        <v>6500.0</v>
      </c>
      <c r="C15" s="20" t="s">
        <v>54</v>
      </c>
    </row>
    <row r="16" ht="13.5" customHeight="1">
      <c r="A16" s="8" t="s">
        <v>55</v>
      </c>
      <c r="B16" s="18">
        <v>11500.0</v>
      </c>
      <c r="C16" s="13" t="s">
        <v>56</v>
      </c>
    </row>
    <row r="17" ht="13.5" customHeight="1">
      <c r="A17" s="8" t="s">
        <v>57</v>
      </c>
      <c r="B17" s="9">
        <v>1000000.0</v>
      </c>
      <c r="C17" s="8" t="s">
        <v>58</v>
      </c>
    </row>
    <row r="18" ht="13.5" customHeight="1">
      <c r="A18" s="8" t="s">
        <v>59</v>
      </c>
      <c r="B18" s="9">
        <v>100000.0</v>
      </c>
      <c r="C18" s="8" t="s">
        <v>60</v>
      </c>
    </row>
    <row r="19" ht="13.5" customHeight="1">
      <c r="A19" s="8" t="s">
        <v>61</v>
      </c>
      <c r="B19" s="11">
        <v>0.15</v>
      </c>
      <c r="C19" s="8" t="s">
        <v>63</v>
      </c>
    </row>
    <row r="20" ht="13.5" customHeight="1">
      <c r="A20" s="8" t="s">
        <v>64</v>
      </c>
      <c r="B20" s="11">
        <v>0.025</v>
      </c>
      <c r="C20" s="8" t="s">
        <v>65</v>
      </c>
    </row>
    <row r="21" ht="13.5" customHeight="1">
      <c r="A21" s="8" t="s">
        <v>66</v>
      </c>
      <c r="B21" s="9">
        <v>900000.0</v>
      </c>
      <c r="C21" s="13" t="s">
        <v>68</v>
      </c>
    </row>
    <row r="22" ht="13.5" customHeight="1">
      <c r="A22" s="8" t="s">
        <v>69</v>
      </c>
      <c r="B22" s="11">
        <v>0.15</v>
      </c>
      <c r="C22" s="8" t="s">
        <v>70</v>
      </c>
    </row>
    <row r="23" ht="13.5" customHeight="1">
      <c r="A23" s="8" t="s">
        <v>72</v>
      </c>
      <c r="B23" s="14">
        <v>0.04</v>
      </c>
      <c r="C23" s="8" t="s">
        <v>73</v>
      </c>
    </row>
    <row r="24" ht="13.5" customHeight="1">
      <c r="A24" s="8" t="s">
        <v>74</v>
      </c>
      <c r="B24" s="14">
        <v>0.0</v>
      </c>
      <c r="C24" s="13" t="s">
        <v>75</v>
      </c>
    </row>
    <row r="25" ht="13.5" customHeight="1">
      <c r="A25" s="8" t="s">
        <v>76</v>
      </c>
      <c r="B25" s="14">
        <v>0.09</v>
      </c>
      <c r="C25" s="8" t="s">
        <v>77</v>
      </c>
    </row>
    <row r="26" ht="13.5" customHeight="1">
      <c r="A26" s="8" t="s">
        <v>78</v>
      </c>
      <c r="B26" s="11">
        <v>0.07</v>
      </c>
      <c r="C26" s="8" t="s">
        <v>79</v>
      </c>
    </row>
    <row r="27" ht="13.5" customHeight="1">
      <c r="A27" s="8" t="s">
        <v>80</v>
      </c>
      <c r="B27" s="11">
        <v>0.05</v>
      </c>
      <c r="C27" s="8" t="s">
        <v>82</v>
      </c>
    </row>
    <row r="28" ht="13.5" customHeight="1"/>
    <row r="29" ht="13.5" customHeight="1">
      <c r="A29" s="25"/>
      <c r="B29" s="26"/>
    </row>
    <row r="30" ht="13.5" customHeight="1">
      <c r="A30" s="27"/>
      <c r="B30" s="26"/>
    </row>
    <row r="31" ht="13.5" customHeight="1">
      <c r="A31" s="27"/>
      <c r="B31" s="26"/>
    </row>
    <row r="32" ht="13.5" customHeight="1">
      <c r="A32" s="27"/>
      <c r="B32" s="26"/>
    </row>
    <row r="33" ht="13.5" customHeight="1">
      <c r="A33" s="26"/>
      <c r="B33" s="26"/>
    </row>
    <row r="34" ht="13.5" customHeight="1">
      <c r="A34" s="26"/>
      <c r="B34" s="26"/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</sheetData>
  <mergeCells count="3">
    <mergeCell ref="A1:C1"/>
    <mergeCell ref="A2:C2"/>
    <mergeCell ref="A3:C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3" width="14.0"/>
    <col customWidth="1" min="14" max="26" width="8.71"/>
  </cols>
  <sheetData>
    <row r="1" ht="13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6" t="s">
        <v>15</v>
      </c>
      <c r="B3" s="6" t="s">
        <v>16</v>
      </c>
      <c r="C3" s="6" t="s">
        <v>17</v>
      </c>
      <c r="D3" s="6" t="s">
        <v>18</v>
      </c>
      <c r="E3" s="6" t="s">
        <v>20</v>
      </c>
      <c r="F3" s="6" t="s">
        <v>23</v>
      </c>
      <c r="G3" s="6" t="s">
        <v>24</v>
      </c>
      <c r="H3" s="6" t="s">
        <v>26</v>
      </c>
      <c r="I3" s="6" t="s">
        <v>27</v>
      </c>
      <c r="J3" s="6" t="s">
        <v>29</v>
      </c>
      <c r="K3" s="6" t="s">
        <v>31</v>
      </c>
      <c r="L3" s="6" t="s">
        <v>32</v>
      </c>
      <c r="M3" s="6" t="s">
        <v>34</v>
      </c>
    </row>
    <row r="4" ht="13.5" customHeight="1">
      <c r="A4" s="12" t="s">
        <v>39</v>
      </c>
    </row>
    <row r="5" ht="13.5" customHeight="1">
      <c r="A5" s="13" t="s">
        <v>41</v>
      </c>
      <c r="B5" s="23">
        <f t="array" ref="B5:M5">(Revenue!B6:M6*Assumption!$B$13 + Revenue!B7:M7*Assumption!$B$14 + Revenue!B8:M8*Assumption!$B$15 + Revenue!B9:M9*Assumption!$B$16) * 3</f>
        <v>297900</v>
      </c>
      <c r="C5" s="23">
        <v>892500.0</v>
      </c>
      <c r="D5" s="23">
        <v>1653300.0</v>
      </c>
      <c r="E5" s="23">
        <v>2527500.0</v>
      </c>
      <c r="F5" s="23">
        <v>4783200.0</v>
      </c>
      <c r="G5" s="23">
        <v>8234100.0</v>
      </c>
      <c r="H5" s="23">
        <v>1.25748E7</v>
      </c>
      <c r="I5" s="23">
        <v>1.90638E7</v>
      </c>
      <c r="J5" s="23">
        <v>2.7438E7</v>
      </c>
      <c r="K5" s="23">
        <v>3.80544E7</v>
      </c>
      <c r="L5" s="23">
        <v>5.35257E7</v>
      </c>
      <c r="M5" s="23">
        <v>7.6329E7</v>
      </c>
    </row>
    <row r="6" ht="13.5" customHeight="1">
      <c r="A6" s="8" t="s">
        <v>83</v>
      </c>
      <c r="B6" s="23">
        <f>Assumption!$B$17*1*3</f>
        <v>3000000</v>
      </c>
      <c r="C6" s="23">
        <f>Assumption!$B$17*1*3</f>
        <v>3000000</v>
      </c>
      <c r="D6" s="23">
        <f>Assumption!$B$17*1*3</f>
        <v>3000000</v>
      </c>
      <c r="E6" s="23">
        <f>Assumption!$B$17*1*3</f>
        <v>3000000</v>
      </c>
      <c r="F6" s="23">
        <f>Assumption!$B$17*1.15*3</f>
        <v>3450000</v>
      </c>
      <c r="G6" s="23">
        <f>Assumption!$B$17*1.3*3</f>
        <v>3900000</v>
      </c>
      <c r="H6" s="23">
        <f>Assumption!$B$17*1.45*3</f>
        <v>4350000</v>
      </c>
      <c r="I6" s="23">
        <f>Assumption!$B$17*1.6*3</f>
        <v>4800000</v>
      </c>
      <c r="J6" s="23">
        <f>Assumption!$B$17*1.75*3</f>
        <v>5250000</v>
      </c>
      <c r="K6" s="23">
        <f>Assumption!$B$17*1.9*3</f>
        <v>5700000</v>
      </c>
      <c r="L6" s="23">
        <f>Assumption!$B$17*2.05*3</f>
        <v>6150000</v>
      </c>
      <c r="M6" s="23">
        <f>Assumption!$B$17*2.2*3</f>
        <v>6600000</v>
      </c>
    </row>
    <row r="7" ht="13.5" customHeight="1">
      <c r="A7" s="8" t="s">
        <v>86</v>
      </c>
      <c r="B7" s="23">
        <f>Assumption!$B$18*3</f>
        <v>300000</v>
      </c>
      <c r="C7" s="23">
        <f>Assumption!$B$18*3</f>
        <v>300000</v>
      </c>
      <c r="D7" s="23">
        <f>Assumption!$B$18*3</f>
        <v>300000</v>
      </c>
      <c r="E7" s="23">
        <f>Assumption!$B$18*3</f>
        <v>300000</v>
      </c>
      <c r="F7" s="23">
        <f>Assumption!$B$18*3</f>
        <v>300000</v>
      </c>
      <c r="G7" s="23">
        <f>Assumption!$B$18*3</f>
        <v>300000</v>
      </c>
      <c r="H7" s="23">
        <f>Assumption!$B$18*3</f>
        <v>300000</v>
      </c>
      <c r="I7" s="23">
        <f>Assumption!$B$18*3</f>
        <v>300000</v>
      </c>
      <c r="J7" s="23">
        <f>Assumption!$B$18*3</f>
        <v>300000</v>
      </c>
      <c r="K7" s="23">
        <f>Assumption!$B$18*3</f>
        <v>300000</v>
      </c>
      <c r="L7" s="23">
        <f>Assumption!$B$18*3</f>
        <v>300000</v>
      </c>
      <c r="M7" s="23">
        <f>Assumption!$B$18*3</f>
        <v>300000</v>
      </c>
    </row>
    <row r="8" ht="13.5" customHeight="1">
      <c r="A8" s="13" t="s">
        <v>89</v>
      </c>
      <c r="B8" s="23">
        <f>Revenue!B22 * Assumption!$B$20</f>
        <v>10297.5</v>
      </c>
      <c r="C8" s="23">
        <f>Revenue!C22 * Assumption!$B$20</f>
        <v>56610</v>
      </c>
      <c r="D8" s="23">
        <f>Revenue!D22 * Assumption!$B$20</f>
        <v>147390</v>
      </c>
      <c r="E8" s="23">
        <f>Revenue!E22 * Assumption!$B$20</f>
        <v>280102.5</v>
      </c>
      <c r="F8" s="23">
        <f>Revenue!F22 * Assumption!$B$20</f>
        <v>507498.75</v>
      </c>
      <c r="G8" s="23">
        <f>Revenue!G22 * Assumption!$B$20</f>
        <v>901743.75</v>
      </c>
      <c r="H8" s="23">
        <f>Revenue!H22 * Assumption!$B$20</f>
        <v>1501098.75</v>
      </c>
      <c r="I8" s="23">
        <f>Revenue!I22 * Assumption!$B$20</f>
        <v>2345932.5</v>
      </c>
      <c r="J8" s="23">
        <f>Revenue!J22 * Assumption!$B$20</f>
        <v>3558787.5</v>
      </c>
      <c r="K8" s="23">
        <f>Revenue!K22 * Assumption!$B$20</f>
        <v>5132175</v>
      </c>
      <c r="L8" s="23">
        <f>Revenue!L22 * Assumption!$B$20</f>
        <v>7242731.25</v>
      </c>
      <c r="M8" s="23">
        <f>Revenue!M22 * Assumption!$B$20</f>
        <v>10227618.75</v>
      </c>
    </row>
    <row r="9" ht="13.5" customHeight="1">
      <c r="A9" s="8" t="s">
        <v>99</v>
      </c>
      <c r="B9" s="23">
        <f>Revenue!B13*Assumption!$B$19</f>
        <v>59175</v>
      </c>
      <c r="C9" s="23">
        <f>Revenue!C13*Assumption!$B$19</f>
        <v>330300</v>
      </c>
      <c r="D9" s="23">
        <f>Revenue!D13*Assumption!$B$19</f>
        <v>866250</v>
      </c>
      <c r="E9" s="23">
        <f>Revenue!E13*Assumption!$B$19</f>
        <v>1653750</v>
      </c>
      <c r="F9" s="23">
        <f>Revenue!F13*Assumption!$B$19</f>
        <v>2976075</v>
      </c>
      <c r="G9" s="23">
        <f>Revenue!G13*Assumption!$B$19</f>
        <v>5287950</v>
      </c>
      <c r="H9" s="23">
        <f>Revenue!H13*Assumption!$B$19</f>
        <v>8818875</v>
      </c>
      <c r="I9" s="23">
        <f>Revenue!I13*Assumption!$B$19</f>
        <v>13799250</v>
      </c>
      <c r="J9" s="23">
        <f>Revenue!J13*Assumption!$B$19</f>
        <v>20692125</v>
      </c>
      <c r="K9" s="23">
        <f>Revenue!K13*Assumption!$B$19</f>
        <v>29891250</v>
      </c>
      <c r="L9" s="23">
        <f>Revenue!L13*Assumption!$B$19</f>
        <v>42214500</v>
      </c>
      <c r="M9" s="23">
        <f>Revenue!M13*Assumption!$B$19</f>
        <v>59602500</v>
      </c>
    </row>
    <row r="10" ht="13.5" customHeight="1">
      <c r="A10" s="12" t="s">
        <v>108</v>
      </c>
      <c r="B10" s="16">
        <f t="shared" ref="B10:M10" si="1">SUM(B5:B9)</f>
        <v>3667372.5</v>
      </c>
      <c r="C10" s="16">
        <f t="shared" si="1"/>
        <v>4579410</v>
      </c>
      <c r="D10" s="16">
        <f t="shared" si="1"/>
        <v>5966940</v>
      </c>
      <c r="E10" s="16">
        <f t="shared" si="1"/>
        <v>7761352.5</v>
      </c>
      <c r="F10" s="16">
        <f t="shared" si="1"/>
        <v>12016773.75</v>
      </c>
      <c r="G10" s="16">
        <f t="shared" si="1"/>
        <v>18623793.75</v>
      </c>
      <c r="H10" s="16">
        <f t="shared" si="1"/>
        <v>27544773.75</v>
      </c>
      <c r="I10" s="16">
        <f t="shared" si="1"/>
        <v>40308982.5</v>
      </c>
      <c r="J10" s="16">
        <f t="shared" si="1"/>
        <v>57238912.5</v>
      </c>
      <c r="K10" s="16">
        <f t="shared" si="1"/>
        <v>79077825</v>
      </c>
      <c r="L10" s="16">
        <f t="shared" si="1"/>
        <v>109432931.3</v>
      </c>
      <c r="M10" s="16">
        <f t="shared" si="1"/>
        <v>153059118.8</v>
      </c>
    </row>
    <row r="11" ht="13.5" customHeight="1"/>
    <row r="12" ht="13.5" customHeight="1">
      <c r="A12" s="12" t="s">
        <v>122</v>
      </c>
    </row>
    <row r="13" ht="13.5" customHeight="1">
      <c r="A13" s="8" t="s">
        <v>125</v>
      </c>
      <c r="B13" s="35">
        <v>3000000.0</v>
      </c>
      <c r="C13" s="35">
        <v>3000000.0</v>
      </c>
      <c r="D13" s="35">
        <v>3000000.0</v>
      </c>
      <c r="E13" s="35">
        <v>3000000.0</v>
      </c>
      <c r="F13" s="35">
        <v>1.3E7</v>
      </c>
      <c r="G13" s="35">
        <v>1.3E7</v>
      </c>
      <c r="H13" s="35">
        <v>1.3E7</v>
      </c>
      <c r="I13" s="35">
        <v>1.3E7</v>
      </c>
      <c r="J13" s="35">
        <v>1.5E7</v>
      </c>
      <c r="K13" s="35">
        <v>1.5E7</v>
      </c>
      <c r="L13" s="35">
        <v>1.5E7</v>
      </c>
      <c r="M13" s="35">
        <v>1.5E7</v>
      </c>
    </row>
    <row r="14" ht="13.5" customHeight="1">
      <c r="A14" s="8" t="s">
        <v>129</v>
      </c>
      <c r="B14" s="23">
        <v>900000.0</v>
      </c>
      <c r="C14" s="23">
        <v>900000.0</v>
      </c>
      <c r="D14" s="23">
        <v>900000.0</v>
      </c>
      <c r="E14" s="23">
        <v>900000.0</v>
      </c>
      <c r="F14" s="23">
        <v>1080000.0</v>
      </c>
      <c r="G14" s="23">
        <v>1080000.0</v>
      </c>
      <c r="H14" s="23">
        <v>1080000.0</v>
      </c>
      <c r="I14" s="23">
        <v>1080000.0</v>
      </c>
      <c r="J14" s="23">
        <v>1260000.0</v>
      </c>
      <c r="K14" s="23">
        <v>1260000.0</v>
      </c>
      <c r="L14" s="23">
        <v>1260000.0</v>
      </c>
      <c r="M14" s="23">
        <v>1260000.0</v>
      </c>
    </row>
    <row r="15" ht="13.5" customHeight="1">
      <c r="A15" s="8" t="s">
        <v>134</v>
      </c>
      <c r="B15" s="23">
        <v>1000000.0</v>
      </c>
      <c r="C15" s="23">
        <v>1000000.0</v>
      </c>
      <c r="D15" s="23">
        <v>1000000.0</v>
      </c>
      <c r="E15" s="23">
        <v>1500000.0</v>
      </c>
      <c r="F15" s="23">
        <v>1500000.0</v>
      </c>
      <c r="G15" s="23">
        <v>1500000.0</v>
      </c>
      <c r="H15" s="23">
        <v>2000000.0</v>
      </c>
      <c r="I15" s="23">
        <v>2000000.0</v>
      </c>
      <c r="J15" s="23">
        <v>2000000.0</v>
      </c>
      <c r="K15" s="23">
        <v>2500000.0</v>
      </c>
      <c r="L15" s="23">
        <v>2500000.0</v>
      </c>
      <c r="M15" s="23">
        <v>2500000.0</v>
      </c>
    </row>
    <row r="16" ht="13.5" customHeight="1">
      <c r="A16" s="8" t="s">
        <v>137</v>
      </c>
      <c r="B16" s="23">
        <v>1.8E7</v>
      </c>
      <c r="C16" s="23">
        <v>1.8E7</v>
      </c>
      <c r="D16" s="23">
        <v>1.8E7</v>
      </c>
      <c r="E16" s="23">
        <v>1.8E7</v>
      </c>
      <c r="F16" s="23">
        <v>2.7E7</v>
      </c>
      <c r="G16" s="23">
        <v>2.7E7</v>
      </c>
      <c r="H16" s="23">
        <v>2.7E7</v>
      </c>
      <c r="I16" s="23">
        <v>2.7E7</v>
      </c>
      <c r="J16" s="35">
        <v>3.6E7</v>
      </c>
      <c r="K16" s="35">
        <v>3.6E7</v>
      </c>
      <c r="L16" s="35">
        <v>3.6E7</v>
      </c>
      <c r="M16" s="35">
        <v>3.6E7</v>
      </c>
    </row>
    <row r="17" ht="13.5" customHeight="1">
      <c r="A17" s="12" t="s">
        <v>141</v>
      </c>
      <c r="B17" s="16">
        <f t="shared" ref="B17:M17" si="2">SUM(B13:B16)</f>
        <v>22900000</v>
      </c>
      <c r="C17" s="16">
        <f t="shared" si="2"/>
        <v>22900000</v>
      </c>
      <c r="D17" s="16">
        <f t="shared" si="2"/>
        <v>22900000</v>
      </c>
      <c r="E17" s="16">
        <f t="shared" si="2"/>
        <v>23400000</v>
      </c>
      <c r="F17" s="16">
        <f t="shared" si="2"/>
        <v>42580000</v>
      </c>
      <c r="G17" s="16">
        <f t="shared" si="2"/>
        <v>42580000</v>
      </c>
      <c r="H17" s="16">
        <f t="shared" si="2"/>
        <v>43080000</v>
      </c>
      <c r="I17" s="16">
        <f t="shared" si="2"/>
        <v>43080000</v>
      </c>
      <c r="J17" s="16">
        <f t="shared" si="2"/>
        <v>54260000</v>
      </c>
      <c r="K17" s="16">
        <f t="shared" si="2"/>
        <v>54760000</v>
      </c>
      <c r="L17" s="16">
        <f t="shared" si="2"/>
        <v>54760000</v>
      </c>
      <c r="M17" s="16">
        <f t="shared" si="2"/>
        <v>54760000</v>
      </c>
    </row>
    <row r="18" ht="13.5" customHeight="1">
      <c r="A18" s="30" t="s">
        <v>143</v>
      </c>
      <c r="B18" s="31">
        <f t="shared" ref="B18:M18" si="3">B17-B16</f>
        <v>4900000</v>
      </c>
      <c r="C18" s="31">
        <f t="shared" si="3"/>
        <v>4900000</v>
      </c>
      <c r="D18" s="31">
        <f t="shared" si="3"/>
        <v>4900000</v>
      </c>
      <c r="E18" s="31">
        <f t="shared" si="3"/>
        <v>5400000</v>
      </c>
      <c r="F18" s="31">
        <f t="shared" si="3"/>
        <v>15580000</v>
      </c>
      <c r="G18" s="31">
        <f t="shared" si="3"/>
        <v>15580000</v>
      </c>
      <c r="H18" s="31">
        <f t="shared" si="3"/>
        <v>16080000</v>
      </c>
      <c r="I18" s="31">
        <f t="shared" si="3"/>
        <v>16080000</v>
      </c>
      <c r="J18" s="31">
        <f t="shared" si="3"/>
        <v>18260000</v>
      </c>
      <c r="K18" s="31">
        <f t="shared" si="3"/>
        <v>18760000</v>
      </c>
      <c r="L18" s="31">
        <f t="shared" si="3"/>
        <v>18760000</v>
      </c>
      <c r="M18" s="31">
        <f t="shared" si="3"/>
        <v>18760000</v>
      </c>
    </row>
    <row r="19" ht="13.5" customHeight="1">
      <c r="A19" s="34" t="s">
        <v>147</v>
      </c>
      <c r="B19" s="40">
        <f t="shared" ref="B19:M19" si="4">B10+B17</f>
        <v>26567372.5</v>
      </c>
      <c r="C19" s="40">
        <f t="shared" si="4"/>
        <v>27479410</v>
      </c>
      <c r="D19" s="40">
        <f t="shared" si="4"/>
        <v>28866940</v>
      </c>
      <c r="E19" s="40">
        <f t="shared" si="4"/>
        <v>31161352.5</v>
      </c>
      <c r="F19" s="40">
        <f t="shared" si="4"/>
        <v>54596773.75</v>
      </c>
      <c r="G19" s="40">
        <f t="shared" si="4"/>
        <v>61203793.75</v>
      </c>
      <c r="H19" s="40">
        <f t="shared" si="4"/>
        <v>70624773.75</v>
      </c>
      <c r="I19" s="40">
        <f t="shared" si="4"/>
        <v>83388982.5</v>
      </c>
      <c r="J19" s="40">
        <f t="shared" si="4"/>
        <v>111498912.5</v>
      </c>
      <c r="K19" s="40">
        <f t="shared" si="4"/>
        <v>133837825</v>
      </c>
      <c r="L19" s="40">
        <f t="shared" si="4"/>
        <v>164192931.3</v>
      </c>
      <c r="M19" s="40">
        <f t="shared" si="4"/>
        <v>207819118.8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13" width="14.0"/>
    <col customWidth="1" min="14" max="26" width="8.71"/>
  </cols>
  <sheetData>
    <row r="1" ht="13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/>
    <row r="4" ht="13.5" customHeight="1">
      <c r="A4" s="7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3.5" customHeight="1">
      <c r="A5" s="10" t="s">
        <v>21</v>
      </c>
      <c r="B5" s="10" t="s">
        <v>16</v>
      </c>
      <c r="C5" s="10" t="s">
        <v>17</v>
      </c>
      <c r="D5" s="10" t="s">
        <v>18</v>
      </c>
      <c r="E5" s="10" t="s">
        <v>20</v>
      </c>
      <c r="F5" s="10" t="s">
        <v>23</v>
      </c>
      <c r="G5" s="10" t="s">
        <v>24</v>
      </c>
      <c r="H5" s="10" t="s">
        <v>26</v>
      </c>
      <c r="I5" s="10" t="s">
        <v>27</v>
      </c>
      <c r="J5" s="10" t="s">
        <v>29</v>
      </c>
      <c r="K5" s="10" t="s">
        <v>31</v>
      </c>
      <c r="L5" s="10" t="s">
        <v>32</v>
      </c>
      <c r="M5" s="10" t="s">
        <v>34</v>
      </c>
    </row>
    <row r="6" ht="13.5" customHeight="1">
      <c r="A6" s="15" t="s">
        <v>43</v>
      </c>
      <c r="B6" s="17">
        <v>51.0</v>
      </c>
      <c r="C6" s="17">
        <v>125.0</v>
      </c>
      <c r="D6" s="17">
        <v>197.0</v>
      </c>
      <c r="E6" s="17">
        <v>250.0</v>
      </c>
      <c r="F6" s="17">
        <v>498.0</v>
      </c>
      <c r="G6" s="17">
        <v>819.0</v>
      </c>
      <c r="H6" s="17">
        <v>1107.0</v>
      </c>
      <c r="I6" s="17">
        <v>1617.0</v>
      </c>
      <c r="J6" s="17">
        <v>2170.0</v>
      </c>
      <c r="K6" s="17">
        <v>2796.0</v>
      </c>
      <c r="L6" s="17">
        <v>3863.0</v>
      </c>
      <c r="M6" s="17">
        <v>5510.0</v>
      </c>
    </row>
    <row r="7" ht="13.5" customHeight="1">
      <c r="A7" s="19" t="s">
        <v>53</v>
      </c>
      <c r="B7" s="21">
        <v>5.0</v>
      </c>
      <c r="C7" s="21">
        <v>15.0</v>
      </c>
      <c r="D7" s="21">
        <v>35.0</v>
      </c>
      <c r="E7" s="21">
        <v>60.0</v>
      </c>
      <c r="F7" s="21">
        <v>120.0</v>
      </c>
      <c r="G7" s="21">
        <v>220.0</v>
      </c>
      <c r="H7" s="21">
        <v>380.0</v>
      </c>
      <c r="I7" s="21">
        <v>600.0</v>
      </c>
      <c r="J7" s="21">
        <v>900.0</v>
      </c>
      <c r="K7" s="21">
        <v>1300.0</v>
      </c>
      <c r="L7" s="21">
        <v>1900.0</v>
      </c>
      <c r="M7" s="21">
        <v>2800.0</v>
      </c>
    </row>
    <row r="8" ht="13.5" customHeight="1">
      <c r="A8" s="19" t="s">
        <v>62</v>
      </c>
      <c r="B8" s="21">
        <v>2.0</v>
      </c>
      <c r="C8" s="21">
        <v>8.0</v>
      </c>
      <c r="D8" s="21">
        <v>15.0</v>
      </c>
      <c r="E8" s="21">
        <v>25.0</v>
      </c>
      <c r="F8" s="21">
        <v>40.0</v>
      </c>
      <c r="G8" s="21">
        <v>70.0</v>
      </c>
      <c r="H8" s="21">
        <v>110.0</v>
      </c>
      <c r="I8" s="21">
        <v>170.0</v>
      </c>
      <c r="J8" s="21">
        <v>260.0</v>
      </c>
      <c r="K8" s="21">
        <v>380.0</v>
      </c>
      <c r="L8" s="21">
        <v>520.0</v>
      </c>
      <c r="M8" s="21">
        <v>700.0</v>
      </c>
    </row>
    <row r="9" ht="13.5" customHeight="1">
      <c r="A9" s="19" t="s">
        <v>71</v>
      </c>
      <c r="B9" s="21">
        <v>0.0</v>
      </c>
      <c r="C9" s="21">
        <v>2.0</v>
      </c>
      <c r="D9" s="21">
        <v>5.0</v>
      </c>
      <c r="E9" s="21">
        <v>10.0</v>
      </c>
      <c r="F9" s="21">
        <v>18.0</v>
      </c>
      <c r="G9" s="21">
        <v>30.0</v>
      </c>
      <c r="H9" s="21">
        <v>45.0</v>
      </c>
      <c r="I9" s="21">
        <v>65.0</v>
      </c>
      <c r="J9" s="21">
        <v>90.0</v>
      </c>
      <c r="K9" s="21">
        <v>120.0</v>
      </c>
      <c r="L9" s="21">
        <v>160.0</v>
      </c>
      <c r="M9" s="21">
        <v>220.0</v>
      </c>
    </row>
    <row r="10" ht="13.5" customHeight="1">
      <c r="A10" s="24" t="s">
        <v>81</v>
      </c>
      <c r="B10" s="28">
        <f>B7/2 * Assumption!$B$5 * 3</f>
        <v>217500</v>
      </c>
      <c r="C10" s="28">
        <f>(B7+C7)/2 * Assumption!$B$5 * 3</f>
        <v>870000</v>
      </c>
      <c r="D10" s="28">
        <f>(C7+D7)/2 * Assumption!$B$5 * 3</f>
        <v>2175000</v>
      </c>
      <c r="E10" s="28">
        <f>(D7+E7)/2 * Assumption!$B$5 * 3</f>
        <v>4132500</v>
      </c>
      <c r="F10" s="28">
        <f>(E7+F7)/2 * Assumption!$B$5 * 3</f>
        <v>7830000</v>
      </c>
      <c r="G10" s="28">
        <f>(F7+G7)/2 * Assumption!$B$5 * 3</f>
        <v>14790000</v>
      </c>
      <c r="H10" s="28">
        <f>(G7+H7)/2 * Assumption!$B$5 * 3</f>
        <v>26100000</v>
      </c>
      <c r="I10" s="28">
        <f>(H7+I7)/2 * Assumption!$B$5 * 3</f>
        <v>42630000</v>
      </c>
      <c r="J10" s="28">
        <f>(I7+J7)/2 * Assumption!$B$5 * 3</f>
        <v>65250000</v>
      </c>
      <c r="K10" s="28">
        <f>(J7+K7)/2 * Assumption!$B$5 * 3</f>
        <v>95700000</v>
      </c>
      <c r="L10" s="28">
        <f>(K7+L7)/2 * Assumption!$B$5 * 3</f>
        <v>139200000</v>
      </c>
      <c r="M10" s="28">
        <f>(L7+M7)/2 * Assumption!$B$5 * 3</f>
        <v>204450000</v>
      </c>
    </row>
    <row r="11" ht="13.5" customHeight="1">
      <c r="A11" s="8" t="s">
        <v>87</v>
      </c>
      <c r="B11" s="23">
        <f>B8/2 * Assumption!$B$6 * 3</f>
        <v>177000</v>
      </c>
      <c r="C11" s="23">
        <f>(B8+C8)/2 * Assumption!$B$6 * 3</f>
        <v>885000</v>
      </c>
      <c r="D11" s="23">
        <f>(C8+D8)/2 * Assumption!$B$6 * 3</f>
        <v>2035500</v>
      </c>
      <c r="E11" s="23">
        <f>(D8+E8)/2 * Assumption!$B$6 * 3</f>
        <v>3540000</v>
      </c>
      <c r="F11" s="23">
        <f>(E8+F8)/2 * Assumption!$B$6 * 3</f>
        <v>5752500</v>
      </c>
      <c r="G11" s="23">
        <f>(F8+G8)/2 * Assumption!$B$6 * 3</f>
        <v>9735000</v>
      </c>
      <c r="H11" s="23">
        <f>(G8+H8)/2 * Assumption!$B$6 * 3</f>
        <v>15930000</v>
      </c>
      <c r="I11" s="23">
        <f>(H8+I8)/2 * Assumption!$B$6 * 3</f>
        <v>24780000</v>
      </c>
      <c r="J11" s="23">
        <f>(I8+J8)/2 * Assumption!$B$6 * 3</f>
        <v>38055000</v>
      </c>
      <c r="K11" s="23">
        <f>(J8+K8)/2 * Assumption!$B$6 * 3</f>
        <v>56640000</v>
      </c>
      <c r="L11" s="23">
        <f>(K8+L8)/2 * Assumption!$B$6 * 3</f>
        <v>79650000</v>
      </c>
      <c r="M11" s="23">
        <f>(L8+M8)/2 * Assumption!$B$6 * 3</f>
        <v>107970000</v>
      </c>
    </row>
    <row r="12" ht="13.5" customHeight="1">
      <c r="A12" s="8" t="s">
        <v>91</v>
      </c>
      <c r="B12" s="23">
        <f>B9/2 * Assumption!$B$7 * 3</f>
        <v>0</v>
      </c>
      <c r="C12" s="23">
        <f>(B9+C9)/2 * Assumption!$B$7 * 3</f>
        <v>447000</v>
      </c>
      <c r="D12" s="23">
        <f>(C9+D9)/2 * Assumption!$B$7 * 3</f>
        <v>1564500</v>
      </c>
      <c r="E12" s="23">
        <f>(D9+E9)/2 * Assumption!$B$7 * 3</f>
        <v>3352500</v>
      </c>
      <c r="F12" s="23">
        <f>(E9+F9)/2 * Assumption!$B$7 * 3</f>
        <v>6258000</v>
      </c>
      <c r="G12" s="23">
        <f>(F9+G9)/2 * Assumption!$B$7 * 3</f>
        <v>10728000</v>
      </c>
      <c r="H12" s="23">
        <f>(G9+H9)/2 * Assumption!$B$7 * 3</f>
        <v>16762500</v>
      </c>
      <c r="I12" s="23">
        <f>(H9+I9)/2 * Assumption!$B$7 * 3</f>
        <v>24585000</v>
      </c>
      <c r="J12" s="23">
        <f>(I9+J9)/2 * Assumption!$B$7 * 3</f>
        <v>34642500</v>
      </c>
      <c r="K12" s="23">
        <f>(J9+K9)/2 * Assumption!$B$7 * 3</f>
        <v>46935000</v>
      </c>
      <c r="L12" s="23">
        <f>(K9+L9)/2 * Assumption!$B$7 * 3</f>
        <v>62580000</v>
      </c>
      <c r="M12" s="23">
        <f>(L9+M9)/2 * Assumption!$B$7 * 3</f>
        <v>84930000</v>
      </c>
    </row>
    <row r="13" ht="13.5" customHeight="1">
      <c r="A13" s="12" t="s">
        <v>101</v>
      </c>
      <c r="B13" s="16">
        <f t="shared" ref="B13:M13" si="1">SUM(B10:B12)</f>
        <v>394500</v>
      </c>
      <c r="C13" s="16">
        <f t="shared" si="1"/>
        <v>2202000</v>
      </c>
      <c r="D13" s="16">
        <f t="shared" si="1"/>
        <v>5775000</v>
      </c>
      <c r="E13" s="16">
        <f t="shared" si="1"/>
        <v>11025000</v>
      </c>
      <c r="F13" s="16">
        <f t="shared" si="1"/>
        <v>19840500</v>
      </c>
      <c r="G13" s="16">
        <f t="shared" si="1"/>
        <v>35253000</v>
      </c>
      <c r="H13" s="16">
        <f t="shared" si="1"/>
        <v>58792500</v>
      </c>
      <c r="I13" s="16">
        <f t="shared" si="1"/>
        <v>91995000</v>
      </c>
      <c r="J13" s="16">
        <f t="shared" si="1"/>
        <v>137947500</v>
      </c>
      <c r="K13" s="16">
        <f t="shared" si="1"/>
        <v>199275000</v>
      </c>
      <c r="L13" s="16">
        <f t="shared" si="1"/>
        <v>281430000</v>
      </c>
      <c r="M13" s="16">
        <f t="shared" si="1"/>
        <v>397350000</v>
      </c>
    </row>
    <row r="14" ht="13.5" customHeight="1"/>
    <row r="15" ht="13.5" customHeight="1"/>
    <row r="16" ht="13.5" customHeight="1">
      <c r="A16" s="7" t="s">
        <v>104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13.5" customHeight="1">
      <c r="A17" s="6" t="s">
        <v>21</v>
      </c>
      <c r="B17" s="6" t="s">
        <v>16</v>
      </c>
      <c r="C17" s="6" t="s">
        <v>17</v>
      </c>
      <c r="D17" s="6" t="s">
        <v>18</v>
      </c>
      <c r="E17" s="6" t="s">
        <v>20</v>
      </c>
      <c r="F17" s="6" t="s">
        <v>23</v>
      </c>
      <c r="G17" s="6" t="s">
        <v>24</v>
      </c>
      <c r="H17" s="6" t="s">
        <v>26</v>
      </c>
      <c r="I17" s="6" t="s">
        <v>27</v>
      </c>
      <c r="J17" s="6" t="s">
        <v>29</v>
      </c>
      <c r="K17" s="6" t="s">
        <v>31</v>
      </c>
      <c r="L17" s="6" t="s">
        <v>32</v>
      </c>
      <c r="M17" s="6" t="s">
        <v>34</v>
      </c>
    </row>
    <row r="18" ht="13.5" customHeight="1">
      <c r="A18" s="8" t="s">
        <v>114</v>
      </c>
      <c r="B18" s="23">
        <f>(B7+B8+B9+B6)/2 * Assumption!$B$9 * Assumption!$B$8 * Assumption!$B$10 * 3</f>
        <v>17400</v>
      </c>
      <c r="C18" s="23">
        <f>(B7+B8+B9+C7+C8+C9+C6+B6)/2 * Assumption!$B$9 * Assumption!$B$8 * Assumption!$B$10 * 3</f>
        <v>62400</v>
      </c>
      <c r="D18" s="23">
        <f>(C7+C8+C9+D7+D8+D9+D6+C6)/2 * Assumption!$B$9 * Assumption!$B$8 * Assumption!$B$10 * 3</f>
        <v>120600</v>
      </c>
      <c r="E18" s="23">
        <f>(D7+D8+D9+E7+E8+E9+E6+D6)/2 * Assumption!$B$9 * Assumption!$B$8 * Assumption!$B$10 * 3</f>
        <v>179100</v>
      </c>
      <c r="F18" s="23">
        <f>(E7+E8+E9+F7+F8+F9+F6+E6)/2 * Assumption!$B$9 * Assumption!$B$8 * Assumption!$B$11 * 3</f>
        <v>459450</v>
      </c>
      <c r="G18" s="23">
        <f>(F7+F8+F9+G7+G8+G9+G6+F6)/2 * Assumption!$B$9 * Assumption!$B$8 * Assumption!$B$11 * 3</f>
        <v>816750</v>
      </c>
      <c r="H18" s="23">
        <f>(G7+G8+G9+H7+H8+H9+H6+G6)/2 * Assumption!$B$9 * Assumption!$B$8 * Assumption!$B$11 * 3</f>
        <v>1251450</v>
      </c>
      <c r="I18" s="23">
        <f>(H7+H8+H9+I7+I8+I9+I6+H6)/2 * Assumption!$B$9 * Assumption!$B$8 * Assumption!$B$11 * 3</f>
        <v>1842300</v>
      </c>
      <c r="J18" s="23">
        <f>(I7+I8+I9+J7+J8+J9+J6+I6)/2 * Assumption!$B$9 * Assumption!$B$8 * Assumption!$B$12 * 3</f>
        <v>4404000</v>
      </c>
      <c r="K18" s="23">
        <f>(J7+J8+J9+K7+K8+K9+K6+J6)/2 * Assumption!$B$9 * Assumption!$B$8 * Assumption!$B$12 * 3</f>
        <v>6012000</v>
      </c>
      <c r="L18" s="23">
        <f>(K7+K8+K9+L7+L8+L9+L6+K6)/2 * Assumption!$B$9 * Assumption!$B$8 * Assumption!$B$12 * 3</f>
        <v>8279250</v>
      </c>
      <c r="M18" s="23">
        <f>(L7+L8+L9+M7+M8+M9+M6+L6)/2 * Assumption!$B$9 * Assumption!$B$8 * Assumption!$B$12 * 3</f>
        <v>11754750</v>
      </c>
    </row>
    <row r="19" ht="13.5" customHeight="1"/>
    <row r="20" ht="13.5" customHeight="1">
      <c r="A20" s="41" t="s">
        <v>144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13.5" customHeight="1">
      <c r="A21" s="6" t="s">
        <v>21</v>
      </c>
      <c r="B21" s="6" t="s">
        <v>16</v>
      </c>
      <c r="C21" s="6" t="s">
        <v>17</v>
      </c>
      <c r="D21" s="6" t="s">
        <v>18</v>
      </c>
      <c r="E21" s="6" t="s">
        <v>20</v>
      </c>
      <c r="F21" s="6" t="s">
        <v>23</v>
      </c>
      <c r="G21" s="6" t="s">
        <v>24</v>
      </c>
      <c r="H21" s="6" t="s">
        <v>26</v>
      </c>
      <c r="I21" s="6" t="s">
        <v>27</v>
      </c>
      <c r="J21" s="6" t="s">
        <v>29</v>
      </c>
      <c r="K21" s="6" t="s">
        <v>31</v>
      </c>
      <c r="L21" s="6" t="s">
        <v>32</v>
      </c>
      <c r="M21" s="6" t="s">
        <v>34</v>
      </c>
    </row>
    <row r="22" ht="13.5" customHeight="1">
      <c r="A22" s="12" t="s">
        <v>35</v>
      </c>
      <c r="B22" s="42">
        <f t="shared" ref="B22:M22" si="2">SUM(B13,B18)</f>
        <v>411900</v>
      </c>
      <c r="C22" s="42">
        <f t="shared" si="2"/>
        <v>2264400</v>
      </c>
      <c r="D22" s="42">
        <f t="shared" si="2"/>
        <v>5895600</v>
      </c>
      <c r="E22" s="42">
        <f t="shared" si="2"/>
        <v>11204100</v>
      </c>
      <c r="F22" s="42">
        <f t="shared" si="2"/>
        <v>20299950</v>
      </c>
      <c r="G22" s="42">
        <f t="shared" si="2"/>
        <v>36069750</v>
      </c>
      <c r="H22" s="42">
        <f t="shared" si="2"/>
        <v>60043950</v>
      </c>
      <c r="I22" s="42">
        <f t="shared" si="2"/>
        <v>93837300</v>
      </c>
      <c r="J22" s="42">
        <f t="shared" si="2"/>
        <v>142351500</v>
      </c>
      <c r="K22" s="42">
        <f t="shared" si="2"/>
        <v>205287000</v>
      </c>
      <c r="L22" s="42">
        <f t="shared" si="2"/>
        <v>289709250</v>
      </c>
      <c r="M22" s="42">
        <f t="shared" si="2"/>
        <v>409104750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5">
    <mergeCell ref="A1:N1"/>
    <mergeCell ref="A2:N2"/>
    <mergeCell ref="A4:N4"/>
    <mergeCell ref="A16:N16"/>
    <mergeCell ref="A20:N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4.71"/>
    <col customWidth="1" min="3" max="12" width="14.0"/>
    <col customWidth="1" min="13" max="13" width="15.57"/>
    <col customWidth="1" min="14" max="26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5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3.5" customHeight="1">
      <c r="A4" s="6" t="s">
        <v>13</v>
      </c>
      <c r="B4" s="6" t="s">
        <v>16</v>
      </c>
      <c r="C4" s="6" t="s">
        <v>17</v>
      </c>
      <c r="D4" s="6" t="s">
        <v>18</v>
      </c>
      <c r="E4" s="6" t="s">
        <v>20</v>
      </c>
      <c r="F4" s="6" t="s">
        <v>23</v>
      </c>
      <c r="G4" s="6" t="s">
        <v>24</v>
      </c>
      <c r="H4" s="6" t="s">
        <v>26</v>
      </c>
      <c r="I4" s="6" t="s">
        <v>27</v>
      </c>
      <c r="J4" s="6" t="s">
        <v>29</v>
      </c>
      <c r="K4" s="6" t="s">
        <v>31</v>
      </c>
      <c r="L4" s="6" t="s">
        <v>32</v>
      </c>
      <c r="M4" s="6" t="s">
        <v>34</v>
      </c>
    </row>
    <row r="5" ht="13.5" customHeight="1">
      <c r="A5" s="12" t="s">
        <v>35</v>
      </c>
      <c r="B5" s="16">
        <f>Revenue!B22</f>
        <v>411900</v>
      </c>
      <c r="C5" s="16">
        <f>Revenue!C22</f>
        <v>2264400</v>
      </c>
      <c r="D5" s="16">
        <f>Revenue!D22</f>
        <v>5895600</v>
      </c>
      <c r="E5" s="16">
        <f>Revenue!E22</f>
        <v>11204100</v>
      </c>
      <c r="F5" s="16">
        <f>Revenue!F22</f>
        <v>20299950</v>
      </c>
      <c r="G5" s="16">
        <f>Revenue!G22</f>
        <v>36069750</v>
      </c>
      <c r="H5" s="16">
        <f>Revenue!H22</f>
        <v>60043950</v>
      </c>
      <c r="I5" s="16">
        <f>Revenue!I22</f>
        <v>93837300</v>
      </c>
      <c r="J5" s="16">
        <f>Revenue!J22</f>
        <v>142351500</v>
      </c>
      <c r="K5" s="16">
        <f>Revenue!K22</f>
        <v>205287000</v>
      </c>
      <c r="L5" s="16">
        <f>Revenue!L22</f>
        <v>289709250</v>
      </c>
      <c r="M5" s="16">
        <f>Revenue!M22</f>
        <v>409104750</v>
      </c>
    </row>
    <row r="6" ht="13.5" customHeight="1"/>
    <row r="7" ht="13.5" customHeight="1">
      <c r="A7" s="22" t="s">
        <v>67</v>
      </c>
      <c r="B7" s="23">
        <f>'Cost Structure'!B10</f>
        <v>3667372.5</v>
      </c>
      <c r="C7" s="23">
        <f>'Cost Structure'!C10</f>
        <v>4579410</v>
      </c>
      <c r="D7" s="23">
        <f>'Cost Structure'!D10</f>
        <v>5966940</v>
      </c>
      <c r="E7" s="23">
        <f>'Cost Structure'!E10</f>
        <v>7761352.5</v>
      </c>
      <c r="F7" s="23">
        <f>'Cost Structure'!F10</f>
        <v>12016773.75</v>
      </c>
      <c r="G7" s="23">
        <f>'Cost Structure'!G10</f>
        <v>18623793.75</v>
      </c>
      <c r="H7" s="23">
        <f>'Cost Structure'!H10</f>
        <v>27544773.75</v>
      </c>
      <c r="I7" s="23">
        <f>'Cost Structure'!I10</f>
        <v>40308982.5</v>
      </c>
      <c r="J7" s="23">
        <f>'Cost Structure'!J10</f>
        <v>57238912.5</v>
      </c>
      <c r="K7" s="23">
        <f>'Cost Structure'!K10</f>
        <v>79077825</v>
      </c>
      <c r="L7" s="23">
        <f>'Cost Structure'!L10</f>
        <v>109432931.3</v>
      </c>
      <c r="M7" s="23">
        <f>'Cost Structure'!M10</f>
        <v>153059118.8</v>
      </c>
    </row>
    <row r="8" ht="13.5" customHeight="1">
      <c r="A8" s="12" t="s">
        <v>84</v>
      </c>
      <c r="B8" s="16">
        <f t="shared" ref="B8:M8" si="1">B5-B7</f>
        <v>-3255472.5</v>
      </c>
      <c r="C8" s="16">
        <f t="shared" si="1"/>
        <v>-2315010</v>
      </c>
      <c r="D8" s="16">
        <f t="shared" si="1"/>
        <v>-71340</v>
      </c>
      <c r="E8" s="16">
        <f t="shared" si="1"/>
        <v>3442747.5</v>
      </c>
      <c r="F8" s="16">
        <f t="shared" si="1"/>
        <v>8283176.25</v>
      </c>
      <c r="G8" s="16">
        <f t="shared" si="1"/>
        <v>17445956.25</v>
      </c>
      <c r="H8" s="16">
        <f t="shared" si="1"/>
        <v>32499176.25</v>
      </c>
      <c r="I8" s="16">
        <f t="shared" si="1"/>
        <v>53528317.5</v>
      </c>
      <c r="J8" s="16">
        <f t="shared" si="1"/>
        <v>85112587.5</v>
      </c>
      <c r="K8" s="16">
        <f t="shared" si="1"/>
        <v>126209175</v>
      </c>
      <c r="L8" s="16">
        <f t="shared" si="1"/>
        <v>180276318.8</v>
      </c>
      <c r="M8" s="16">
        <f t="shared" si="1"/>
        <v>256045631.3</v>
      </c>
    </row>
    <row r="9" ht="13.5" customHeight="1">
      <c r="A9" s="22" t="s">
        <v>85</v>
      </c>
      <c r="B9" s="29">
        <f t="shared" ref="B9:M9" si="2">IF(B5&gt;0,B8/B5,"N/A")</f>
        <v>-7.903550619</v>
      </c>
      <c r="C9" s="29">
        <f t="shared" si="2"/>
        <v>-1.022350291</v>
      </c>
      <c r="D9" s="29">
        <f t="shared" si="2"/>
        <v>-0.01210054956</v>
      </c>
      <c r="E9" s="29">
        <f t="shared" si="2"/>
        <v>0.3072756848</v>
      </c>
      <c r="F9" s="29">
        <f t="shared" si="2"/>
        <v>0.4080392439</v>
      </c>
      <c r="G9" s="29">
        <f t="shared" si="2"/>
        <v>0.4836727798</v>
      </c>
      <c r="H9" s="29">
        <f t="shared" si="2"/>
        <v>0.5412564671</v>
      </c>
      <c r="I9" s="29">
        <f t="shared" si="2"/>
        <v>0.5704375286</v>
      </c>
      <c r="J9" s="29">
        <f t="shared" si="2"/>
        <v>0.5979043951</v>
      </c>
      <c r="K9" s="29">
        <f t="shared" si="2"/>
        <v>0.6147938009</v>
      </c>
      <c r="L9" s="29">
        <f t="shared" si="2"/>
        <v>0.6222663541</v>
      </c>
      <c r="M9" s="29">
        <f t="shared" si="2"/>
        <v>0.6258681456</v>
      </c>
    </row>
    <row r="10" ht="13.5" customHeight="1"/>
    <row r="11" ht="13.5" customHeight="1">
      <c r="A11" s="12" t="s">
        <v>88</v>
      </c>
      <c r="B11" s="23">
        <f>'Cost Structure'!B18</f>
        <v>4900000</v>
      </c>
      <c r="C11" s="23">
        <f>'Cost Structure'!C18</f>
        <v>4900000</v>
      </c>
      <c r="D11" s="23">
        <f>'Cost Structure'!D18</f>
        <v>4900000</v>
      </c>
      <c r="E11" s="23">
        <f>'Cost Structure'!E18</f>
        <v>5400000</v>
      </c>
      <c r="F11" s="23">
        <f>'Cost Structure'!F18</f>
        <v>15580000</v>
      </c>
      <c r="G11" s="23">
        <f>'Cost Structure'!G18</f>
        <v>15580000</v>
      </c>
      <c r="H11" s="23">
        <f>'Cost Structure'!H18</f>
        <v>16080000</v>
      </c>
      <c r="I11" s="23">
        <f>'Cost Structure'!I18</f>
        <v>16080000</v>
      </c>
      <c r="J11" s="23">
        <f>'Cost Structure'!J18</f>
        <v>18260000</v>
      </c>
      <c r="K11" s="23">
        <f>'Cost Structure'!K18</f>
        <v>18760000</v>
      </c>
      <c r="L11" s="23">
        <f>'Cost Structure'!L18</f>
        <v>18760000</v>
      </c>
      <c r="M11" s="23">
        <f>'Cost Structure'!M18</f>
        <v>18760000</v>
      </c>
    </row>
    <row r="12" ht="13.5" customHeight="1"/>
    <row r="13" ht="13.5" customHeight="1">
      <c r="A13" s="30" t="s">
        <v>90</v>
      </c>
      <c r="B13" s="31">
        <f t="shared" ref="B13:M13" si="3">B8-B11</f>
        <v>-8155472.5</v>
      </c>
      <c r="C13" s="31">
        <f t="shared" si="3"/>
        <v>-7215010</v>
      </c>
      <c r="D13" s="31">
        <f t="shared" si="3"/>
        <v>-4971340</v>
      </c>
      <c r="E13" s="31">
        <f t="shared" si="3"/>
        <v>-1957252.5</v>
      </c>
      <c r="F13" s="31">
        <f t="shared" si="3"/>
        <v>-7296823.75</v>
      </c>
      <c r="G13" s="31">
        <f t="shared" si="3"/>
        <v>1865956.25</v>
      </c>
      <c r="H13" s="31">
        <f t="shared" si="3"/>
        <v>16419176.25</v>
      </c>
      <c r="I13" s="31">
        <f t="shared" si="3"/>
        <v>37448317.5</v>
      </c>
      <c r="J13" s="31">
        <f t="shared" si="3"/>
        <v>66852587.5</v>
      </c>
      <c r="K13" s="31">
        <f t="shared" si="3"/>
        <v>107449175</v>
      </c>
      <c r="L13" s="31">
        <f t="shared" si="3"/>
        <v>161516318.8</v>
      </c>
      <c r="M13" s="31">
        <f t="shared" si="3"/>
        <v>237285631.3</v>
      </c>
    </row>
    <row r="14" ht="13.5" customHeight="1"/>
    <row r="15" ht="13.5" customHeight="1">
      <c r="A15" s="30" t="s">
        <v>92</v>
      </c>
      <c r="B15" s="31">
        <f>B8-'Cost Structure'!B17</f>
        <v>-26155472.5</v>
      </c>
      <c r="C15" s="31">
        <f>C8-'Cost Structure'!C17</f>
        <v>-25215010</v>
      </c>
      <c r="D15" s="31">
        <f>D8-'Cost Structure'!D17</f>
        <v>-22971340</v>
      </c>
      <c r="E15" s="31">
        <f>E8-'Cost Structure'!E17</f>
        <v>-19957252.5</v>
      </c>
      <c r="F15" s="31">
        <f>F8-'Cost Structure'!F17</f>
        <v>-34296823.75</v>
      </c>
      <c r="G15" s="31">
        <f>G8-'Cost Structure'!G17</f>
        <v>-25134043.75</v>
      </c>
      <c r="H15" s="31">
        <f>H8-'Cost Structure'!H17</f>
        <v>-10580823.75</v>
      </c>
      <c r="I15" s="31">
        <f>I8-'Cost Structure'!I17</f>
        <v>10448317.5</v>
      </c>
      <c r="J15" s="31">
        <f>J8-'Cost Structure'!J17</f>
        <v>30852587.5</v>
      </c>
      <c r="K15" s="31">
        <f>K8-'Cost Structure'!K17</f>
        <v>71449175</v>
      </c>
      <c r="L15" s="31">
        <f>L8-'Cost Structure'!L17</f>
        <v>125516318.8</v>
      </c>
      <c r="M15" s="31">
        <f>M8-'Cost Structure'!M17</f>
        <v>201285631.3</v>
      </c>
    </row>
    <row r="16" ht="13.5" customHeight="1"/>
    <row r="17" ht="13.5" customHeight="1">
      <c r="A17" s="22" t="s">
        <v>106</v>
      </c>
      <c r="B17" s="23">
        <f>IF(B15&gt;0,B15*Assumption!$B$24,0)</f>
        <v>0</v>
      </c>
      <c r="C17" s="23">
        <f>IF(C15&gt;0,C15*Assumption!$B$24,0)</f>
        <v>0</v>
      </c>
      <c r="D17" s="23">
        <f>IF(D15&gt;0,D15*Assumption!$B$24,0)</f>
        <v>0</v>
      </c>
      <c r="E17" s="23">
        <f>IF(E15&gt;0,E15*Assumption!$B$24,0)</f>
        <v>0</v>
      </c>
      <c r="F17" s="23">
        <f>IF(F15&gt;0,F15*Assumption!$B$24,0)</f>
        <v>0</v>
      </c>
      <c r="G17" s="23">
        <f>IF(G15&gt;0,G15*Assumption!$B$24,0)</f>
        <v>0</v>
      </c>
      <c r="H17" s="23">
        <f>IF(H15&gt;0,H15*Assumption!$B$24,0)</f>
        <v>0</v>
      </c>
      <c r="I17" s="23">
        <f>IF(I15&gt;0,I15*Assumption!$B$24,0)</f>
        <v>0</v>
      </c>
      <c r="J17" s="23">
        <f>IF(J15&gt;0,J15*Assumption!$B$24,0)</f>
        <v>0</v>
      </c>
      <c r="K17" s="23">
        <f>IF(K15&gt;0,K15*Assumption!$B$24,0)</f>
        <v>0</v>
      </c>
      <c r="L17" s="23">
        <f>IF(L15&gt;0,L15*Assumption!$B$24,0)</f>
        <v>0</v>
      </c>
      <c r="M17" s="23">
        <f>IF(M15&gt;0,M15*Assumption!$B$24,0)</f>
        <v>0</v>
      </c>
    </row>
    <row r="18" ht="13.5" customHeight="1"/>
    <row r="19" ht="13.5" customHeight="1">
      <c r="A19" s="34" t="s">
        <v>140</v>
      </c>
      <c r="B19" s="40">
        <f t="shared" ref="B19:M19" si="4">B15-B17</f>
        <v>-26155472.5</v>
      </c>
      <c r="C19" s="40">
        <f t="shared" si="4"/>
        <v>-25215010</v>
      </c>
      <c r="D19" s="40">
        <f t="shared" si="4"/>
        <v>-22971340</v>
      </c>
      <c r="E19" s="40">
        <f t="shared" si="4"/>
        <v>-19957252.5</v>
      </c>
      <c r="F19" s="40">
        <f t="shared" si="4"/>
        <v>-34296823.75</v>
      </c>
      <c r="G19" s="40">
        <f t="shared" si="4"/>
        <v>-25134043.75</v>
      </c>
      <c r="H19" s="40">
        <f t="shared" si="4"/>
        <v>-10580823.75</v>
      </c>
      <c r="I19" s="40">
        <f t="shared" si="4"/>
        <v>10448317.5</v>
      </c>
      <c r="J19" s="40">
        <f t="shared" si="4"/>
        <v>30852587.5</v>
      </c>
      <c r="K19" s="40">
        <f t="shared" si="4"/>
        <v>71449175</v>
      </c>
      <c r="L19" s="40">
        <f t="shared" si="4"/>
        <v>125516318.8</v>
      </c>
      <c r="M19" s="40">
        <f t="shared" si="4"/>
        <v>201285631.3</v>
      </c>
    </row>
    <row r="20" ht="13.5" customHeight="1">
      <c r="A20" s="22" t="s">
        <v>142</v>
      </c>
      <c r="B20" s="29">
        <f t="shared" ref="B20:M20" si="5">IF(B5&gt;0,B19/B5,"N/A")</f>
        <v>-63.49956907</v>
      </c>
      <c r="C20" s="29">
        <f t="shared" si="5"/>
        <v>-11.13540452</v>
      </c>
      <c r="D20" s="29">
        <f t="shared" si="5"/>
        <v>-3.896353213</v>
      </c>
      <c r="E20" s="29">
        <f t="shared" si="5"/>
        <v>-1.781245482</v>
      </c>
      <c r="F20" s="29">
        <f t="shared" si="5"/>
        <v>-1.689502868</v>
      </c>
      <c r="G20" s="29">
        <f t="shared" si="5"/>
        <v>-0.6968177975</v>
      </c>
      <c r="H20" s="29">
        <f t="shared" si="5"/>
        <v>-0.1762179828</v>
      </c>
      <c r="I20" s="29">
        <f t="shared" si="5"/>
        <v>0.1113450355</v>
      </c>
      <c r="J20" s="29">
        <f t="shared" si="5"/>
        <v>0.2167352469</v>
      </c>
      <c r="K20" s="29">
        <f t="shared" si="5"/>
        <v>0.3480452976</v>
      </c>
      <c r="L20" s="29">
        <f t="shared" si="5"/>
        <v>0.433249262</v>
      </c>
      <c r="M20" s="29">
        <f t="shared" si="5"/>
        <v>0.4920148966</v>
      </c>
    </row>
    <row r="21" ht="13.5" customHeight="1"/>
    <row r="22" ht="13.5" customHeight="1">
      <c r="A22" s="32" t="s">
        <v>145</v>
      </c>
      <c r="B22" s="33">
        <f>SUM(B19:M19)</f>
        <v>275241263.8</v>
      </c>
    </row>
    <row r="23" ht="13.5" customHeight="1">
      <c r="A23" s="30" t="s">
        <v>146</v>
      </c>
      <c r="B23" s="31">
        <f>B13</f>
        <v>-8155472.5</v>
      </c>
      <c r="C23" s="31">
        <f t="shared" ref="C23:M23" si="6">B23+C13</f>
        <v>-15370482.5</v>
      </c>
      <c r="D23" s="31">
        <f t="shared" si="6"/>
        <v>-20341822.5</v>
      </c>
      <c r="E23" s="31">
        <f t="shared" si="6"/>
        <v>-22299075</v>
      </c>
      <c r="F23" s="31">
        <f t="shared" si="6"/>
        <v>-29595898.75</v>
      </c>
      <c r="G23" s="31">
        <f t="shared" si="6"/>
        <v>-27729942.5</v>
      </c>
      <c r="H23" s="31">
        <f t="shared" si="6"/>
        <v>-11310766.25</v>
      </c>
      <c r="I23" s="31">
        <f t="shared" si="6"/>
        <v>26137551.25</v>
      </c>
      <c r="J23" s="31">
        <f t="shared" si="6"/>
        <v>92990138.75</v>
      </c>
      <c r="K23" s="31">
        <f t="shared" si="6"/>
        <v>200439313.8</v>
      </c>
      <c r="L23" s="31">
        <f t="shared" si="6"/>
        <v>361955632.5</v>
      </c>
      <c r="M23" s="31">
        <f t="shared" si="6"/>
        <v>599241263.8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N1"/>
    <mergeCell ref="A2:N2"/>
    <mergeCell ref="A3:N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22.0"/>
    <col customWidth="1" min="4" max="4" width="35.0"/>
    <col customWidth="1" min="5" max="26" width="8.71"/>
  </cols>
  <sheetData>
    <row r="1" ht="13.5" customHeight="1">
      <c r="A1" s="1" t="s">
        <v>0</v>
      </c>
      <c r="B1" s="2"/>
      <c r="C1" s="2"/>
      <c r="D1" s="3"/>
    </row>
    <row r="2" ht="13.5" customHeight="1">
      <c r="A2" s="4" t="s">
        <v>93</v>
      </c>
      <c r="B2" s="2"/>
      <c r="C2" s="2"/>
      <c r="D2" s="3"/>
    </row>
    <row r="3" ht="13.5" customHeight="1">
      <c r="A3" s="5" t="s">
        <v>6</v>
      </c>
      <c r="B3" s="2"/>
      <c r="C3" s="2"/>
      <c r="D3" s="3"/>
    </row>
    <row r="4" ht="13.5" customHeight="1"/>
    <row r="5" ht="13.5" customHeight="1">
      <c r="A5" s="6" t="s">
        <v>94</v>
      </c>
      <c r="B5" s="6" t="s">
        <v>95</v>
      </c>
      <c r="C5" s="6" t="s">
        <v>96</v>
      </c>
      <c r="D5" s="6" t="s">
        <v>97</v>
      </c>
    </row>
    <row r="6" ht="13.5" customHeight="1">
      <c r="A6" s="22" t="s">
        <v>98</v>
      </c>
      <c r="B6" s="23">
        <f>SUM('P&amp;L Statement'!B5:E5)</f>
        <v>19776000</v>
      </c>
      <c r="C6" s="23">
        <f>SUM('P&amp;L Statement'!F5:I5)</f>
        <v>210250950</v>
      </c>
      <c r="D6" s="23">
        <f>SUM('P&amp;L Statement'!J5:M5)</f>
        <v>1046452500</v>
      </c>
    </row>
    <row r="7" ht="13.5" customHeight="1">
      <c r="A7" s="22" t="s">
        <v>100</v>
      </c>
      <c r="B7" s="23">
        <f>SUM('Cost Structure'!B10:E10)</f>
        <v>21975075</v>
      </c>
      <c r="C7" s="23">
        <f>SUM('Cost Structure'!F10:I10)</f>
        <v>98494323.75</v>
      </c>
      <c r="D7" s="23">
        <f>SUM('Cost Structure'!J10:M10)</f>
        <v>398808787.5</v>
      </c>
    </row>
    <row r="8" ht="13.5" customHeight="1">
      <c r="A8" s="22" t="s">
        <v>102</v>
      </c>
      <c r="B8" s="23">
        <f>SUM('Cost Structure'!B18:E18)</f>
        <v>20100000</v>
      </c>
      <c r="C8" s="23">
        <f>SUM('Cost Structure'!F18:I18)</f>
        <v>63320000</v>
      </c>
      <c r="D8" s="23">
        <f>SUM('Cost Structure'!J18:M18)</f>
        <v>74540000</v>
      </c>
    </row>
    <row r="9" ht="13.5" customHeight="1">
      <c r="A9" s="30" t="s">
        <v>103</v>
      </c>
      <c r="B9" s="31">
        <f t="shared" ref="B9:D9" si="1">B6-B7-B8</f>
        <v>-22299075</v>
      </c>
      <c r="C9" s="31">
        <f t="shared" si="1"/>
        <v>48436626.25</v>
      </c>
      <c r="D9" s="31">
        <f t="shared" si="1"/>
        <v>573103712.5</v>
      </c>
    </row>
    <row r="10" ht="13.5" customHeight="1"/>
    <row r="11" ht="13.5" customHeight="1">
      <c r="A11" s="32" t="s">
        <v>105</v>
      </c>
      <c r="B11" s="33">
        <f>SUM(B9:D9)</f>
        <v>599241263.8</v>
      </c>
    </row>
    <row r="12" ht="13.5" customHeight="1"/>
    <row r="13" ht="13.5" customHeight="1">
      <c r="A13" s="34" t="s">
        <v>107</v>
      </c>
    </row>
    <row r="14" ht="13.5" customHeight="1">
      <c r="A14" s="6" t="s">
        <v>109</v>
      </c>
      <c r="B14" s="6" t="s">
        <v>110</v>
      </c>
      <c r="C14" s="6" t="s">
        <v>111</v>
      </c>
      <c r="D14" s="6" t="s">
        <v>12</v>
      </c>
    </row>
    <row r="15" ht="13.5" customHeight="1">
      <c r="A15" s="8" t="s">
        <v>112</v>
      </c>
      <c r="B15" s="35">
        <v>6000000.0</v>
      </c>
      <c r="C15" s="8" t="s">
        <v>113</v>
      </c>
      <c r="D15" s="13" t="s">
        <v>115</v>
      </c>
    </row>
    <row r="16" ht="13.5" customHeight="1">
      <c r="A16" s="8" t="s">
        <v>116</v>
      </c>
      <c r="B16" s="23">
        <v>5.0E7</v>
      </c>
      <c r="C16" s="8" t="s">
        <v>117</v>
      </c>
      <c r="D16" s="8" t="s">
        <v>118</v>
      </c>
    </row>
    <row r="17" ht="13.5" customHeight="1"/>
    <row r="18" ht="13.5" customHeight="1">
      <c r="A18" s="32" t="s">
        <v>119</v>
      </c>
      <c r="B18" s="33">
        <f>SUM(B15:B16)</f>
        <v>56000000</v>
      </c>
    </row>
    <row r="19" ht="13.5" customHeight="1">
      <c r="A19" s="8" t="s">
        <v>120</v>
      </c>
      <c r="B19" s="23">
        <f>B7+B8</f>
        <v>42075075</v>
      </c>
    </row>
    <row r="20" ht="13.5" customHeight="1">
      <c r="A20" s="30" t="s">
        <v>121</v>
      </c>
      <c r="B20" s="31">
        <f>B18-B19</f>
        <v>13924925</v>
      </c>
    </row>
    <row r="21" ht="13.5" customHeight="1"/>
    <row r="22" ht="13.5" customHeight="1">
      <c r="A22" s="34" t="s">
        <v>123</v>
      </c>
    </row>
    <row r="23" ht="13.5" customHeight="1">
      <c r="A23" s="6" t="s">
        <v>124</v>
      </c>
      <c r="B23" s="6" t="s">
        <v>126</v>
      </c>
      <c r="C23" s="6" t="s">
        <v>110</v>
      </c>
      <c r="D23" s="6" t="s">
        <v>127</v>
      </c>
    </row>
    <row r="24" ht="13.5" customHeight="1">
      <c r="A24" s="8" t="s">
        <v>128</v>
      </c>
      <c r="B24" s="36">
        <f t="shared" ref="B24:B27" si="2">C24/$C$28</f>
        <v>0.2142857143</v>
      </c>
      <c r="C24" s="37">
        <f>SUM('Cost Structure'!B13:E13)</f>
        <v>12000000</v>
      </c>
      <c r="D24" s="8" t="s">
        <v>130</v>
      </c>
    </row>
    <row r="25" ht="13.5" customHeight="1">
      <c r="A25" s="8" t="s">
        <v>131</v>
      </c>
      <c r="B25" s="36">
        <f t="shared" si="2"/>
        <v>0.4119857143</v>
      </c>
      <c r="C25" s="37">
        <f>SUM('Cost Structure'!B5:E7, 'Cost Structure'!B15:E15)</f>
        <v>23071200</v>
      </c>
      <c r="D25" s="8" t="s">
        <v>132</v>
      </c>
    </row>
    <row r="26" ht="13.5" customHeight="1">
      <c r="A26" s="8" t="s">
        <v>133</v>
      </c>
      <c r="B26" s="36">
        <f t="shared" si="2"/>
        <v>0.1250691964</v>
      </c>
      <c r="C26" s="37">
        <f>SUM('Cost Structure'!B8:E9, 'Cost Structure'!B14:E14)</f>
        <v>7003875</v>
      </c>
      <c r="D26" s="8" t="s">
        <v>135</v>
      </c>
    </row>
    <row r="27" ht="13.5" customHeight="1">
      <c r="A27" s="8" t="s">
        <v>136</v>
      </c>
      <c r="B27" s="36">
        <f t="shared" si="2"/>
        <v>0.248659375</v>
      </c>
      <c r="C27" s="37">
        <f>B18-SUM(C24:C26)</f>
        <v>13924925</v>
      </c>
      <c r="D27" s="8" t="s">
        <v>138</v>
      </c>
    </row>
    <row r="28" ht="13.5" customHeight="1">
      <c r="A28" s="32" t="s">
        <v>139</v>
      </c>
      <c r="B28" s="38">
        <v>1.0</v>
      </c>
      <c r="C28" s="39">
        <f>SUM(C24:C27)</f>
        <v>56000000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D1"/>
    <mergeCell ref="A2:D2"/>
    <mergeCell ref="A3:D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3" width="18.0"/>
    <col customWidth="1" min="4" max="4" width="14.0"/>
    <col customWidth="1" min="5" max="5" width="16.0"/>
    <col customWidth="1" min="6" max="26" width="8.71"/>
  </cols>
  <sheetData>
    <row r="1" ht="13.5" customHeight="1">
      <c r="A1" s="1" t="s">
        <v>0</v>
      </c>
      <c r="B1" s="2"/>
      <c r="C1" s="2"/>
      <c r="D1" s="3"/>
    </row>
    <row r="2" ht="13.5" customHeight="1">
      <c r="A2" s="4" t="s">
        <v>148</v>
      </c>
      <c r="B2" s="2"/>
      <c r="C2" s="2"/>
      <c r="D2" s="3"/>
    </row>
    <row r="3" ht="13.5" customHeight="1"/>
    <row r="4" ht="13.5" customHeight="1">
      <c r="A4" s="6" t="s">
        <v>8</v>
      </c>
      <c r="B4" s="6" t="s">
        <v>149</v>
      </c>
      <c r="C4" s="6" t="s">
        <v>150</v>
      </c>
      <c r="D4" s="6" t="s">
        <v>151</v>
      </c>
    </row>
    <row r="5" ht="13.5" customHeight="1">
      <c r="A5" s="8" t="s">
        <v>152</v>
      </c>
      <c r="B5" s="23">
        <f>SUM('Cost Structure'!B13:E13)</f>
        <v>12000000</v>
      </c>
      <c r="C5" s="23">
        <f>SUM('Cost Structure'!F13:I13)</f>
        <v>52000000</v>
      </c>
      <c r="D5" s="23">
        <f>SUM('Cost Structure'!J13:M13)</f>
        <v>60000000</v>
      </c>
    </row>
    <row r="6" ht="13.5" customHeight="1">
      <c r="A6" s="8" t="s">
        <v>153</v>
      </c>
      <c r="B6" s="23">
        <f>SUM(Revenue!B7:E9)</f>
        <v>182</v>
      </c>
      <c r="C6" s="23">
        <f>SUM(Revenue!F7:I9)</f>
        <v>1868</v>
      </c>
      <c r="D6" s="23">
        <f>SUM(Revenue!J7:M9)</f>
        <v>9350</v>
      </c>
    </row>
    <row r="7" ht="13.5" customHeight="1">
      <c r="A7" s="30" t="s">
        <v>154</v>
      </c>
      <c r="B7" s="31">
        <f t="shared" ref="B7:D7" si="1">IF(B6&gt;0,B5/B6,0)</f>
        <v>65934.06593</v>
      </c>
      <c r="C7" s="31">
        <f t="shared" si="1"/>
        <v>27837.2591</v>
      </c>
      <c r="D7" s="31">
        <f t="shared" si="1"/>
        <v>6417.112299</v>
      </c>
    </row>
    <row r="8" ht="13.5" customHeight="1">
      <c r="A8" s="8" t="s">
        <v>155</v>
      </c>
      <c r="B8" s="23">
        <f>SUM(Revenue!B13:E13) / SUM(Revenue!B7:E9) / 3</f>
        <v>35524.72527</v>
      </c>
      <c r="C8" s="23">
        <f>SUM(Revenue!F13:I13) / SUM(Revenue!F7:I9) / 3</f>
        <v>36738.2227</v>
      </c>
      <c r="D8" s="23">
        <f>SUM(Revenue!J13:M13) / SUM(Revenue!J7:M9) / 3</f>
        <v>36221.12299</v>
      </c>
    </row>
    <row r="9" ht="13.5" customHeight="1">
      <c r="A9" s="8" t="s">
        <v>156</v>
      </c>
      <c r="B9" s="29">
        <f>Assumption!B25</f>
        <v>0.09</v>
      </c>
      <c r="C9" s="29">
        <f>Assumption!B26</f>
        <v>0.07</v>
      </c>
      <c r="D9" s="29">
        <f>Assumption!B27</f>
        <v>0.05</v>
      </c>
    </row>
    <row r="10" ht="13.5" customHeight="1">
      <c r="A10" s="8" t="s">
        <v>157</v>
      </c>
      <c r="B10" s="43">
        <f t="shared" ref="B10:D10" si="2">IF(B9&gt;0,1/B9,0)</f>
        <v>11.11111111</v>
      </c>
      <c r="C10" s="43">
        <f t="shared" si="2"/>
        <v>14.28571429</v>
      </c>
      <c r="D10" s="43">
        <f t="shared" si="2"/>
        <v>20</v>
      </c>
    </row>
    <row r="11" ht="13.5" customHeight="1">
      <c r="A11" s="44" t="s">
        <v>158</v>
      </c>
      <c r="B11" s="31">
        <f>(B8 - SUM('Cost Structure'!B5:E5)/SUM(Revenue!B7:E9)/3 - B8*Assumption!$B$19 - B8*Assumption!$B$20) * B10</f>
        <v>216339.2857</v>
      </c>
      <c r="C11" s="31">
        <f>(C8 - SUM('Cost Structure'!F5:I5)/SUM(Revenue!F7:I9)/3 - C8*Assumption!$B$19 - C8*Assumption!$B$20) * C10</f>
        <v>319149.3958</v>
      </c>
      <c r="D11" s="31">
        <f>(D8 - SUM('Cost Structure'!J5:M5)/SUM(Revenue!J7:M9)/3 - D8*Assumption!$B$19 - D8*Assumption!$B$20) * D10</f>
        <v>458363.6096</v>
      </c>
    </row>
    <row r="12" ht="13.5" customHeight="1">
      <c r="A12" s="22" t="s">
        <v>159</v>
      </c>
      <c r="B12" s="45">
        <f t="shared" ref="B12:D12" si="3">IF(B7&gt;0,B11/B7,0)</f>
        <v>3.281145833</v>
      </c>
      <c r="C12" s="45">
        <f t="shared" si="3"/>
        <v>11.4648283</v>
      </c>
      <c r="D12" s="45">
        <f t="shared" si="3"/>
        <v>71.42832917</v>
      </c>
    </row>
    <row r="13" ht="13.5" customHeight="1"/>
    <row r="14" ht="13.5" customHeight="1">
      <c r="A14" s="34" t="s">
        <v>160</v>
      </c>
    </row>
    <row r="15" ht="13.5" customHeight="1">
      <c r="A15" s="8" t="s">
        <v>161</v>
      </c>
    </row>
    <row r="16" ht="13.5" customHeight="1">
      <c r="A16" s="6" t="s">
        <v>162</v>
      </c>
      <c r="B16" s="6" t="s">
        <v>163</v>
      </c>
      <c r="C16" s="6" t="s">
        <v>164</v>
      </c>
      <c r="D16" s="6" t="s">
        <v>165</v>
      </c>
      <c r="E16" s="6" t="s">
        <v>166</v>
      </c>
    </row>
    <row r="17" ht="13.5" customHeight="1">
      <c r="A17" s="8" t="s">
        <v>167</v>
      </c>
      <c r="B17" s="23">
        <v>1.4E7</v>
      </c>
      <c r="C17" s="23">
        <v>20000.0</v>
      </c>
      <c r="D17" s="23">
        <v>1200.0</v>
      </c>
      <c r="E17" s="31">
        <f t="shared" ref="E17:E19" si="4">ROUNDUP(B17/(C17-D17),0)</f>
        <v>745</v>
      </c>
    </row>
    <row r="18" ht="13.5" customHeight="1">
      <c r="A18" s="8" t="s">
        <v>168</v>
      </c>
      <c r="B18" s="23">
        <v>1.4833333E7</v>
      </c>
      <c r="C18" s="23">
        <v>32000.0</v>
      </c>
      <c r="D18" s="23">
        <v>1200.0</v>
      </c>
      <c r="E18" s="31">
        <f t="shared" si="4"/>
        <v>482</v>
      </c>
    </row>
    <row r="19" ht="13.5" customHeight="1">
      <c r="A19" s="8" t="s">
        <v>169</v>
      </c>
      <c r="B19" s="23">
        <v>1.6E7</v>
      </c>
      <c r="C19" s="23">
        <v>50000.0</v>
      </c>
      <c r="D19" s="23">
        <v>1200.0</v>
      </c>
      <c r="E19" s="31">
        <f t="shared" si="4"/>
        <v>328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33.14"/>
    <col customWidth="1" min="3" max="3" width="41.0"/>
    <col customWidth="1" min="4" max="4" width="21.29"/>
    <col customWidth="1" min="5" max="5" width="89.86"/>
    <col customWidth="1" min="6" max="26" width="8.71"/>
  </cols>
  <sheetData>
    <row r="1" ht="13.5" customHeight="1">
      <c r="A1" s="46" t="s">
        <v>0</v>
      </c>
      <c r="B1" s="47"/>
      <c r="C1" s="47"/>
      <c r="D1" s="47"/>
      <c r="E1" s="48"/>
    </row>
    <row r="2" ht="13.5" customHeight="1">
      <c r="A2" s="49" t="s">
        <v>173</v>
      </c>
      <c r="B2" s="51"/>
      <c r="C2" s="51"/>
      <c r="D2" s="51"/>
      <c r="E2" s="48"/>
    </row>
    <row r="3" ht="13.5" customHeight="1">
      <c r="A3" s="52" t="s">
        <v>6</v>
      </c>
      <c r="B3" s="47"/>
      <c r="C3" s="47"/>
      <c r="D3" s="47"/>
      <c r="E3" s="48"/>
    </row>
    <row r="4" ht="13.5" customHeight="1">
      <c r="A4" s="53"/>
      <c r="B4" s="53"/>
      <c r="C4" s="53"/>
      <c r="D4" s="53"/>
      <c r="E4" s="53"/>
    </row>
    <row r="5" ht="13.5" customHeight="1">
      <c r="A5" s="54" t="s">
        <v>182</v>
      </c>
      <c r="B5" s="55"/>
      <c r="C5" s="55"/>
      <c r="D5" s="55"/>
      <c r="E5" s="57"/>
    </row>
    <row r="6" ht="13.5" customHeight="1">
      <c r="A6" s="58" t="s">
        <v>187</v>
      </c>
      <c r="B6" s="58" t="s">
        <v>188</v>
      </c>
      <c r="C6" s="58" t="s">
        <v>189</v>
      </c>
      <c r="D6" s="59"/>
      <c r="E6" s="60"/>
    </row>
    <row r="7" ht="13.5" customHeight="1">
      <c r="A7" s="61" t="s">
        <v>190</v>
      </c>
      <c r="B7" s="63">
        <f>SUM(Revenue!J10:M11)</f>
        <v>786915000</v>
      </c>
      <c r="C7" s="64" t="s">
        <v>193</v>
      </c>
      <c r="D7" s="65"/>
      <c r="E7" s="53"/>
    </row>
    <row r="8" ht="13.5" customHeight="1">
      <c r="A8" s="61" t="s">
        <v>196</v>
      </c>
      <c r="B8" s="63">
        <f>SUM(Revenue!J12:M12)</f>
        <v>229087500</v>
      </c>
      <c r="C8" s="64" t="s">
        <v>197</v>
      </c>
      <c r="D8" s="65"/>
      <c r="E8" s="53"/>
    </row>
    <row r="9" ht="13.5" customHeight="1">
      <c r="A9" s="61" t="s">
        <v>198</v>
      </c>
      <c r="B9" s="63">
        <f>SUM(Revenue!J18:M18)</f>
        <v>30450000</v>
      </c>
      <c r="C9" s="52" t="s">
        <v>199</v>
      </c>
      <c r="D9" s="65"/>
      <c r="E9" s="65"/>
    </row>
    <row r="10" ht="13.5" customHeight="1">
      <c r="A10" s="68" t="s">
        <v>202</v>
      </c>
      <c r="B10" s="69">
        <f>SUM(B7:B9)</f>
        <v>1046452500</v>
      </c>
      <c r="C10" s="64" t="s">
        <v>204</v>
      </c>
      <c r="D10" s="65"/>
      <c r="E10" s="53"/>
    </row>
    <row r="11" ht="13.5" customHeight="1">
      <c r="A11" s="65"/>
      <c r="B11" s="65"/>
      <c r="C11" s="65"/>
      <c r="D11" s="65"/>
      <c r="E11" s="53"/>
    </row>
    <row r="12" ht="13.5" customHeight="1">
      <c r="A12" s="54" t="s">
        <v>206</v>
      </c>
      <c r="B12" s="55"/>
      <c r="C12" s="55"/>
      <c r="D12" s="55"/>
      <c r="E12" s="57"/>
    </row>
    <row r="13" ht="13.5" customHeight="1">
      <c r="A13" s="58" t="s">
        <v>207</v>
      </c>
      <c r="B13" s="58" t="s">
        <v>209</v>
      </c>
      <c r="C13" s="58" t="s">
        <v>211</v>
      </c>
      <c r="D13" s="58" t="s">
        <v>213</v>
      </c>
      <c r="E13" s="58" t="s">
        <v>214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3.5" customHeight="1">
      <c r="A14" s="61" t="s">
        <v>218</v>
      </c>
      <c r="B14" s="71">
        <v>1.5</v>
      </c>
      <c r="C14" s="71">
        <v>2.0</v>
      </c>
      <c r="D14" s="71">
        <v>3.0</v>
      </c>
      <c r="E14" s="72" t="s">
        <v>222</v>
      </c>
    </row>
    <row r="15" ht="13.5" customHeight="1">
      <c r="A15" s="61" t="s">
        <v>196</v>
      </c>
      <c r="B15" s="73">
        <v>2.5</v>
      </c>
      <c r="C15" s="73">
        <v>3.5</v>
      </c>
      <c r="D15" s="74">
        <v>5.0</v>
      </c>
      <c r="E15" s="72" t="s">
        <v>228</v>
      </c>
    </row>
    <row r="16" ht="13.5" customHeight="1">
      <c r="A16" s="61" t="s">
        <v>198</v>
      </c>
      <c r="B16" s="71">
        <v>0.5</v>
      </c>
      <c r="C16" s="71">
        <v>1.0</v>
      </c>
      <c r="D16" s="71">
        <v>1.5</v>
      </c>
      <c r="E16" s="72" t="s">
        <v>232</v>
      </c>
    </row>
    <row r="17" ht="13.5" customHeight="1">
      <c r="A17" s="65"/>
      <c r="B17" s="75"/>
      <c r="C17" s="65"/>
      <c r="D17" s="65"/>
      <c r="E17" s="65"/>
    </row>
    <row r="18" ht="13.5" customHeight="1">
      <c r="A18" s="54" t="s">
        <v>233</v>
      </c>
      <c r="B18" s="55"/>
      <c r="C18" s="55"/>
      <c r="D18" s="55"/>
      <c r="E18" s="57"/>
    </row>
    <row r="19" ht="13.5" customHeight="1">
      <c r="A19" s="58" t="s">
        <v>162</v>
      </c>
      <c r="B19" s="76" t="s">
        <v>237</v>
      </c>
      <c r="C19" s="58" t="s">
        <v>240</v>
      </c>
      <c r="D19" s="58" t="s">
        <v>241</v>
      </c>
      <c r="E19" s="58" t="s">
        <v>243</v>
      </c>
    </row>
    <row r="20" ht="13.5" customHeight="1">
      <c r="A20" s="61" t="s">
        <v>209</v>
      </c>
      <c r="B20" s="77">
        <f>B7*B14</f>
        <v>1180372500</v>
      </c>
      <c r="C20" s="77">
        <f>B8*B15</f>
        <v>572718750</v>
      </c>
      <c r="D20" s="77">
        <f>B9*B16</f>
        <v>15225000</v>
      </c>
      <c r="E20" s="78">
        <f t="shared" ref="E20:E22" si="1">SUM(B20:D20)</f>
        <v>1768316250</v>
      </c>
    </row>
    <row r="21" ht="13.5" customHeight="1">
      <c r="A21" s="68" t="s">
        <v>211</v>
      </c>
      <c r="B21" s="77">
        <f>B7*C14</f>
        <v>1573830000</v>
      </c>
      <c r="C21" s="77">
        <f>B8*C15</f>
        <v>801806250</v>
      </c>
      <c r="D21" s="77">
        <f>B9*C16</f>
        <v>30450000</v>
      </c>
      <c r="E21" s="79">
        <f t="shared" si="1"/>
        <v>2406086250</v>
      </c>
    </row>
    <row r="22" ht="13.5" customHeight="1">
      <c r="A22" s="61" t="s">
        <v>213</v>
      </c>
      <c r="B22" s="77">
        <f>B7*D14</f>
        <v>2360745000</v>
      </c>
      <c r="C22" s="77">
        <f>B8*D15</f>
        <v>1145437500</v>
      </c>
      <c r="D22" s="77">
        <f>B9*D16</f>
        <v>45675000</v>
      </c>
      <c r="E22" s="78">
        <f t="shared" si="1"/>
        <v>3551857500</v>
      </c>
    </row>
    <row r="23" ht="13.5" customHeight="1">
      <c r="A23" s="65"/>
      <c r="B23" s="65"/>
      <c r="C23" s="65"/>
      <c r="D23" s="65"/>
      <c r="E23" s="65"/>
    </row>
    <row r="24" ht="13.5" customHeight="1">
      <c r="A24" s="80" t="s">
        <v>258</v>
      </c>
      <c r="B24" s="55"/>
      <c r="C24" s="55"/>
      <c r="D24" s="55"/>
      <c r="E24" s="57"/>
    </row>
    <row r="25" ht="13.5" customHeight="1">
      <c r="A25" s="65"/>
      <c r="B25" s="75"/>
      <c r="C25" s="81"/>
      <c r="D25" s="75"/>
      <c r="E25" s="65"/>
    </row>
    <row r="26" ht="13.5" customHeight="1">
      <c r="A26" s="54" t="s">
        <v>259</v>
      </c>
      <c r="B26" s="55"/>
      <c r="C26" s="55"/>
      <c r="D26" s="55"/>
      <c r="E26" s="57"/>
    </row>
    <row r="27" ht="13.5" customHeight="1">
      <c r="A27" s="58" t="s">
        <v>260</v>
      </c>
      <c r="B27" s="76" t="s">
        <v>261</v>
      </c>
      <c r="C27" s="82" t="s">
        <v>262</v>
      </c>
      <c r="D27" s="76" t="s">
        <v>263</v>
      </c>
      <c r="E27" s="60"/>
    </row>
    <row r="28" ht="13.5" customHeight="1">
      <c r="A28" s="61" t="s">
        <v>264</v>
      </c>
      <c r="B28" s="83">
        <v>5.0E8</v>
      </c>
      <c r="C28" s="71">
        <v>0.6</v>
      </c>
      <c r="D28" s="77">
        <f t="shared" ref="D28:D32" si="2">B28*C28</f>
        <v>300000000</v>
      </c>
      <c r="E28" s="65"/>
    </row>
    <row r="29" ht="13.5" customHeight="1">
      <c r="A29" s="61" t="s">
        <v>265</v>
      </c>
      <c r="B29" s="83">
        <v>5.0E8</v>
      </c>
      <c r="C29" s="71">
        <v>0.4</v>
      </c>
      <c r="D29" s="77">
        <f t="shared" si="2"/>
        <v>200000000</v>
      </c>
      <c r="E29" s="53"/>
    </row>
    <row r="30" ht="13.5" customHeight="1">
      <c r="A30" s="61" t="s">
        <v>266</v>
      </c>
      <c r="B30" s="83">
        <v>5.0E8</v>
      </c>
      <c r="C30" s="71">
        <v>0.7</v>
      </c>
      <c r="D30" s="77">
        <f t="shared" si="2"/>
        <v>350000000</v>
      </c>
      <c r="E30" s="65"/>
    </row>
    <row r="31" ht="13.5" customHeight="1">
      <c r="A31" s="61" t="s">
        <v>267</v>
      </c>
      <c r="B31" s="83">
        <v>5.0E8</v>
      </c>
      <c r="C31" s="71">
        <v>0.2</v>
      </c>
      <c r="D31" s="77">
        <f t="shared" si="2"/>
        <v>100000000</v>
      </c>
      <c r="E31" s="53"/>
    </row>
    <row r="32" ht="13.5" customHeight="1">
      <c r="A32" s="61" t="s">
        <v>268</v>
      </c>
      <c r="B32" s="83">
        <v>5.0E8</v>
      </c>
      <c r="C32" s="71">
        <v>0.2</v>
      </c>
      <c r="D32" s="77">
        <f t="shared" si="2"/>
        <v>100000000</v>
      </c>
      <c r="E32" s="53"/>
    </row>
    <row r="33" ht="13.5" customHeight="1">
      <c r="A33" s="68" t="s">
        <v>269</v>
      </c>
      <c r="B33" s="65"/>
      <c r="C33" s="65"/>
      <c r="D33" s="84">
        <f>SUM(D28:D32)</f>
        <v>1050000000</v>
      </c>
      <c r="E33" s="85"/>
    </row>
    <row r="34" ht="13.5" customHeight="1">
      <c r="A34" s="65"/>
      <c r="B34" s="65"/>
      <c r="C34" s="65"/>
      <c r="D34" s="65"/>
      <c r="E34" s="86"/>
    </row>
    <row r="35" ht="13.5" customHeight="1">
      <c r="A35" s="54" t="s">
        <v>270</v>
      </c>
      <c r="B35" s="55"/>
      <c r="C35" s="55"/>
      <c r="D35" s="55"/>
      <c r="E35" s="57"/>
    </row>
    <row r="36" ht="13.5" customHeight="1">
      <c r="A36" s="58" t="s">
        <v>271</v>
      </c>
      <c r="B36" s="58" t="s">
        <v>272</v>
      </c>
      <c r="C36" s="58" t="s">
        <v>273</v>
      </c>
      <c r="D36" s="58" t="s">
        <v>274</v>
      </c>
      <c r="E36" s="58" t="s">
        <v>275</v>
      </c>
    </row>
    <row r="37" ht="13.5" customHeight="1">
      <c r="A37" s="71" t="s">
        <v>276</v>
      </c>
      <c r="B37" s="87" t="s">
        <v>277</v>
      </c>
      <c r="C37" s="87" t="s">
        <v>278</v>
      </c>
      <c r="D37" s="87" t="s">
        <v>279</v>
      </c>
      <c r="E37" s="87" t="s">
        <v>280</v>
      </c>
    </row>
    <row r="38" ht="13.5" customHeight="1">
      <c r="A38" s="71" t="s">
        <v>281</v>
      </c>
      <c r="B38" s="87" t="s">
        <v>282</v>
      </c>
      <c r="C38" s="87" t="s">
        <v>283</v>
      </c>
      <c r="D38" s="87" t="s">
        <v>284</v>
      </c>
      <c r="E38" s="87" t="s">
        <v>285</v>
      </c>
    </row>
    <row r="39" ht="13.5" customHeight="1">
      <c r="A39" s="71" t="s">
        <v>286</v>
      </c>
      <c r="B39" s="87" t="s">
        <v>287</v>
      </c>
      <c r="C39" s="87" t="s">
        <v>277</v>
      </c>
      <c r="D39" s="87" t="s">
        <v>288</v>
      </c>
      <c r="E39" s="87" t="s">
        <v>278</v>
      </c>
    </row>
    <row r="40" ht="13.5" customHeight="1">
      <c r="A40" s="58"/>
      <c r="B40" s="58"/>
      <c r="C40" s="58"/>
      <c r="D40" s="58"/>
      <c r="E40" s="58"/>
    </row>
    <row r="41" ht="13.5" customHeight="1">
      <c r="A41" s="71"/>
      <c r="B41" s="87"/>
      <c r="C41" s="87"/>
      <c r="D41" s="87"/>
      <c r="E41" s="87"/>
    </row>
    <row r="42" ht="13.5" customHeight="1">
      <c r="A42" s="71"/>
      <c r="B42" s="87"/>
      <c r="C42" s="87"/>
      <c r="D42" s="87"/>
      <c r="E42" s="87"/>
    </row>
    <row r="43" ht="13.5" customHeight="1">
      <c r="A43" s="71"/>
      <c r="B43" s="87"/>
      <c r="C43" s="87"/>
      <c r="D43" s="87"/>
      <c r="E43" s="87"/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6">
    <mergeCell ref="A5:E5"/>
    <mergeCell ref="A12:E12"/>
    <mergeCell ref="A18:E18"/>
    <mergeCell ref="A24:E24"/>
    <mergeCell ref="A26:E26"/>
    <mergeCell ref="A35:E3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71"/>
    <col customWidth="1" min="4" max="4" width="40.0"/>
    <col customWidth="1" min="5" max="27" width="8.71"/>
  </cols>
  <sheetData>
    <row r="1" ht="13.5" customHeight="1">
      <c r="A1" s="1" t="s">
        <v>0</v>
      </c>
      <c r="B1" s="2"/>
      <c r="C1" s="2"/>
      <c r="D1" s="3"/>
    </row>
    <row r="2" ht="13.5" customHeight="1">
      <c r="A2" s="4" t="s">
        <v>170</v>
      </c>
      <c r="B2" s="2"/>
      <c r="C2" s="2"/>
      <c r="D2" s="3"/>
    </row>
    <row r="3" ht="13.5" customHeight="1"/>
    <row r="4" ht="13.5" customHeight="1">
      <c r="A4" s="6" t="s">
        <v>171</v>
      </c>
      <c r="B4" s="6" t="s">
        <v>172</v>
      </c>
      <c r="C4" s="50" t="s">
        <v>174</v>
      </c>
      <c r="D4" s="50" t="s">
        <v>12</v>
      </c>
    </row>
    <row r="5" ht="13.5" customHeight="1">
      <c r="A5" s="12" t="s">
        <v>175</v>
      </c>
    </row>
    <row r="6" ht="13.5" customHeight="1">
      <c r="B6" s="8" t="s">
        <v>176</v>
      </c>
      <c r="C6" s="13"/>
      <c r="D6" s="13" t="s">
        <v>177</v>
      </c>
    </row>
    <row r="7" ht="13.5" customHeight="1">
      <c r="B7" s="8" t="s">
        <v>178</v>
      </c>
      <c r="C7" s="8"/>
      <c r="D7" s="8" t="s">
        <v>179</v>
      </c>
    </row>
    <row r="8" ht="13.5" customHeight="1">
      <c r="B8" s="8" t="s">
        <v>180</v>
      </c>
      <c r="C8" s="8"/>
      <c r="D8" s="8" t="s">
        <v>181</v>
      </c>
    </row>
    <row r="9" ht="13.5" customHeight="1">
      <c r="B9" s="8" t="s">
        <v>183</v>
      </c>
      <c r="C9" s="8"/>
      <c r="D9" s="8" t="s">
        <v>184</v>
      </c>
      <c r="F9" s="56"/>
    </row>
    <row r="10" ht="13.5" customHeight="1">
      <c r="B10" s="8" t="s">
        <v>185</v>
      </c>
      <c r="C10" s="62" t="s">
        <v>186</v>
      </c>
      <c r="D10" s="8" t="s">
        <v>191</v>
      </c>
    </row>
    <row r="11" ht="13.5" customHeight="1">
      <c r="A11" s="12" t="s">
        <v>192</v>
      </c>
    </row>
    <row r="12" ht="13.5" customHeight="1">
      <c r="B12" s="66" t="s">
        <v>194</v>
      </c>
      <c r="C12" s="67" t="s">
        <v>195</v>
      </c>
      <c r="D12" s="66" t="s">
        <v>194</v>
      </c>
    </row>
    <row r="13" ht="13.5" customHeight="1">
      <c r="B13" s="13" t="s">
        <v>200</v>
      </c>
      <c r="C13" s="62" t="s">
        <v>201</v>
      </c>
      <c r="D13" s="8" t="s">
        <v>203</v>
      </c>
    </row>
    <row r="14" ht="13.5" customHeight="1">
      <c r="B14" s="8" t="s">
        <v>60</v>
      </c>
      <c r="C14" s="62" t="s">
        <v>205</v>
      </c>
      <c r="D14" s="8" t="s">
        <v>208</v>
      </c>
    </row>
    <row r="15" ht="13.5" customHeight="1">
      <c r="B15" s="8" t="s">
        <v>210</v>
      </c>
      <c r="C15" s="62" t="s">
        <v>212</v>
      </c>
      <c r="D15" s="8" t="s">
        <v>215</v>
      </c>
    </row>
    <row r="16" ht="13.5" customHeight="1">
      <c r="B16" s="8" t="s">
        <v>216</v>
      </c>
      <c r="C16" s="62" t="s">
        <v>217</v>
      </c>
      <c r="D16" s="8" t="s">
        <v>219</v>
      </c>
    </row>
    <row r="17" ht="13.5" customHeight="1">
      <c r="A17" s="12" t="s">
        <v>220</v>
      </c>
    </row>
    <row r="18" ht="13.5" customHeight="1">
      <c r="B18" s="8" t="s">
        <v>221</v>
      </c>
      <c r="C18" s="8"/>
      <c r="D18" s="8" t="s">
        <v>223</v>
      </c>
    </row>
    <row r="19" ht="13.5" customHeight="1">
      <c r="B19" s="8" t="s">
        <v>224</v>
      </c>
      <c r="C19" s="13"/>
      <c r="D19" s="8" t="s">
        <v>225</v>
      </c>
    </row>
    <row r="20" ht="13.5" customHeight="1">
      <c r="B20" s="8" t="s">
        <v>226</v>
      </c>
      <c r="C20" s="62" t="s">
        <v>227</v>
      </c>
      <c r="D20" s="8" t="s">
        <v>229</v>
      </c>
    </row>
    <row r="21" ht="13.5" customHeight="1">
      <c r="B21" s="8" t="s">
        <v>230</v>
      </c>
      <c r="C21" s="62" t="s">
        <v>231</v>
      </c>
      <c r="D21" s="8" t="s">
        <v>234</v>
      </c>
    </row>
    <row r="22" ht="13.5" customHeight="1">
      <c r="A22" s="12" t="s">
        <v>235</v>
      </c>
    </row>
    <row r="23" ht="13.5" customHeight="1">
      <c r="B23" s="8" t="s">
        <v>236</v>
      </c>
      <c r="C23" s="13"/>
      <c r="D23" s="8" t="s">
        <v>238</v>
      </c>
    </row>
    <row r="24" ht="13.5" customHeight="1">
      <c r="B24" s="8" t="s">
        <v>239</v>
      </c>
      <c r="C24" s="13"/>
      <c r="D24" s="8" t="s">
        <v>242</v>
      </c>
    </row>
    <row r="25" ht="13.5" customHeight="1">
      <c r="B25" s="8" t="s">
        <v>244</v>
      </c>
      <c r="C25" s="62" t="s">
        <v>245</v>
      </c>
      <c r="D25" s="8" t="s">
        <v>246</v>
      </c>
    </row>
    <row r="26" ht="13.5" customHeight="1">
      <c r="A26" s="12" t="s">
        <v>247</v>
      </c>
    </row>
    <row r="27" ht="13.5" customHeight="1">
      <c r="B27" s="8" t="s">
        <v>248</v>
      </c>
      <c r="C27" s="62" t="s">
        <v>249</v>
      </c>
      <c r="D27" s="8" t="s">
        <v>250</v>
      </c>
    </row>
    <row r="28" ht="13.5" customHeight="1">
      <c r="B28" s="8" t="s">
        <v>251</v>
      </c>
      <c r="C28" s="13"/>
      <c r="D28" s="8" t="s">
        <v>252</v>
      </c>
    </row>
    <row r="29" ht="13.5" customHeight="1">
      <c r="B29" s="8" t="s">
        <v>253</v>
      </c>
      <c r="C29" s="8"/>
      <c r="D29" s="8" t="s">
        <v>254</v>
      </c>
    </row>
    <row r="30" ht="13.5" customHeight="1">
      <c r="B30" s="8" t="s">
        <v>255</v>
      </c>
      <c r="C30" s="62" t="s">
        <v>256</v>
      </c>
      <c r="D30" s="8" t="s">
        <v>257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2">
    <mergeCell ref="A1:D1"/>
    <mergeCell ref="A2:D2"/>
  </mergeCells>
  <hyperlinks>
    <hyperlink r:id="rId1" ref="C10"/>
    <hyperlink r:id="rId2" ref="C12"/>
    <hyperlink r:id="rId3" ref="C13"/>
    <hyperlink r:id="rId4" ref="C14"/>
    <hyperlink r:id="rId5" ref="C15"/>
    <hyperlink r:id="rId6" ref="C16"/>
    <hyperlink r:id="rId7" ref="C20"/>
    <hyperlink r:id="rId8" ref="C21"/>
    <hyperlink r:id="rId9" ref="C25"/>
    <hyperlink r:id="rId10" ref="C27"/>
    <hyperlink r:id="rId11" ref="C30"/>
  </hyperlinks>
  <printOptions/>
  <pageMargins bottom="1.0" footer="0.0" header="0.0" left="0.75" right="0.75" top="1.0"/>
  <pageSetup orientation="landscape"/>
  <drawing r:id="rId12"/>
</worksheet>
</file>